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казы" sheetId="1" r:id="rId5"/>
    <sheet state="visible" name="Товары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tc={fe408988-6014-422f-9440-b8aa53fafd7b}</author>
  </authors>
  <commentList>
    <comment authorId="0" xr:uid="{fe408988-6014-422f-9440-b8aa53fafd7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Шунаками ?
</t>
      </text>
    </comment>
  </commentList>
</comments>
</file>

<file path=xl/sharedStrings.xml><?xml version="1.0" encoding="utf-8"?>
<sst xmlns="http://schemas.openxmlformats.org/spreadsheetml/2006/main" count="365" uniqueCount="126">
  <si>
    <t>ID</t>
  </si>
  <si>
    <t>Заказан в</t>
  </si>
  <si>
    <t>Время заказа</t>
  </si>
  <si>
    <t>Заказ на дату</t>
  </si>
  <si>
    <t>На время</t>
  </si>
  <si>
    <t>Клиент</t>
  </si>
  <si>
    <t>Номер телефона</t>
  </si>
  <si>
    <t>Адрес клиента</t>
  </si>
  <si>
    <t>Долгота и широта</t>
  </si>
  <si>
    <t>Название товара</t>
  </si>
  <si>
    <t>Кол-во</t>
  </si>
  <si>
    <t>Цена</t>
  </si>
  <si>
    <t>Сумма</t>
  </si>
  <si>
    <t>Комментарии</t>
  </si>
  <si>
    <t>Способ оплаты</t>
  </si>
  <si>
    <t>Статус заказа</t>
  </si>
  <si>
    <t>Оплачено ?</t>
  </si>
  <si>
    <t>Исм</t>
  </si>
  <si>
    <t>Ташкент, 5-й проезд Висол, 9</t>
  </si>
  <si>
    <t>41.260381, 69.324759</t>
  </si>
  <si>
    <t>Вода без газа Bon aqua 1,5л</t>
  </si>
  <si>
    <t>Ннн</t>
  </si>
  <si>
    <t>Карта</t>
  </si>
  <si>
    <t>Доставлено</t>
  </si>
  <si>
    <t>Да</t>
  </si>
  <si>
    <t>Вода без газа Bon aqua 0,5л</t>
  </si>
  <si>
    <t>Вода газированная Bon aqua 0,5л</t>
  </si>
  <si>
    <t>Davron Akramov</t>
  </si>
  <si>
    <t>Ташкент, 5-й проезд Висол, 11</t>
  </si>
  <si>
    <t>41.260410, 69.324666</t>
  </si>
  <si>
    <t>Кулупнай музлатилгани</t>
  </si>
  <si>
    <t>Наличные</t>
  </si>
  <si>
    <t>Отказано</t>
  </si>
  <si>
    <t>Малина музлатилгани</t>
  </si>
  <si>
    <t>Облепиха</t>
  </si>
  <si>
    <t>Фасоль красная Bonduelle 400гр/240гр</t>
  </si>
  <si>
    <t>Ми</t>
  </si>
  <si>
    <t>Ташкент, 5-й проезд Висол, 7</t>
  </si>
  <si>
    <t>41.260455, 69.324617</t>
  </si>
  <si>
    <t>Кази</t>
  </si>
  <si>
    <t>Рр</t>
  </si>
  <si>
    <t>В пути</t>
  </si>
  <si>
    <t>Индейка оригинал</t>
  </si>
  <si>
    <t>Ггоооо</t>
  </si>
  <si>
    <t>Ташкент, 1-й проезд Сарыкуль, 24</t>
  </si>
  <si>
    <t>41.275427, 69.292037</t>
  </si>
  <si>
    <t>Кашнич уруги йириги</t>
  </si>
  <si>
    <t>Новый</t>
  </si>
  <si>
    <t>SunnatPy Dev</t>
  </si>
  <si>
    <t>Ташкент, Юнусабадский район, улица Ифтихор, 80/1</t>
  </si>
  <si>
    <t>41.345482, 69.276816</t>
  </si>
  <si>
    <t>Копчёная говядижая мясо</t>
  </si>
  <si>
    <t>Рахмат</t>
  </si>
  <si>
    <t>Колбаса с курдюком</t>
  </si>
  <si>
    <t>Alisher Musayev</t>
  </si>
  <si>
    <t>Ташкент, улица Садыка Азимова, 54</t>
  </si>
  <si>
    <t>41.305696, 69.289897</t>
  </si>
  <si>
    <t>Ассорти колбасa</t>
  </si>
  <si>
    <t>Заказ оласилами ?</t>
  </si>
  <si>
    <t>Ташкент, улица Богибустан</t>
  </si>
  <si>
    <t>41.277850, 69.238784</t>
  </si>
  <si>
    <t>Варёная колбаса «сливочная»</t>
  </si>
  <si>
    <t>Колбаса говядина + индейка</t>
  </si>
  <si>
    <t>Копчёная индейка</t>
  </si>
  <si>
    <t>Заказ игнор кивосилами ?</t>
  </si>
  <si>
    <t>Индюшиные шарики</t>
  </si>
  <si>
    <t>Копчёная куриная «слитка»</t>
  </si>
  <si>
    <t>41.260379, 69.324731</t>
  </si>
  <si>
    <t>Бусидо</t>
  </si>
  <si>
    <t>Вакуумированный бараньий язык</t>
  </si>
  <si>
    <t>Вакуумированный говяжий язык</t>
  </si>
  <si>
    <t>Ташкент, Яшнабадский район, улица Нодирабегим, 53</t>
  </si>
  <si>
    <t>41.274359, 69.353562</t>
  </si>
  <si>
    <t>Копчёная курица</t>
  </si>
  <si>
    <t>Копчёное индюшиное филе</t>
  </si>
  <si>
    <t>Ташкент, улица Истикбол, 25А</t>
  </si>
  <si>
    <t>41.305607, 69.285624</t>
  </si>
  <si>
    <t>Test zakaz</t>
  </si>
  <si>
    <t>Сосиски «Охота»</t>
  </si>
  <si>
    <t>Сосиски «сливочные»</t>
  </si>
  <si>
    <t>Феруза</t>
  </si>
  <si>
    <t>Ташкент, 2-й проезд Дильхуш</t>
  </si>
  <si>
    <t>41.264650, 69.216270</t>
  </si>
  <si>
    <t>Сосиски «сырные»</t>
  </si>
  <si>
    <t>Сайфуллаев Сарвар Д.</t>
  </si>
  <si>
    <t>Ташкент, Сергелийский район, массив Сергели-2, 36</t>
  </si>
  <si>
    <t>41.211984, 69.225638</t>
  </si>
  <si>
    <t>Тандырная баранина</t>
  </si>
  <si>
    <t>3 этаж, 21 квартира</t>
  </si>
  <si>
    <t>Казы в кишке</t>
  </si>
  <si>
    <t>Язык рулет говяжий</t>
  </si>
  <si>
    <t xml:space="preserve">Mirzaolim </t>
  </si>
  <si>
    <t>Широта: 41.310538, Долгота: 69.290670</t>
  </si>
  <si>
    <t>41.310538, 69.290670</t>
  </si>
  <si>
    <t>Брынза полужирная, массовая доля жира 30%</t>
  </si>
  <si>
    <t xml:space="preserve">faqat esiladan chiqmasin </t>
  </si>
  <si>
    <t>Gauda friendship</t>
  </si>
  <si>
    <t>hhhh</t>
  </si>
  <si>
    <t>Ташкент, Яккасарайский район, махаллинский сход граждан Яккасарай</t>
  </si>
  <si>
    <t>41.261500, 69.217700</t>
  </si>
  <si>
    <t>Говядина + баранина рулет</t>
  </si>
  <si>
    <t>gtrgvdsfrs</t>
  </si>
  <si>
    <t>Мухлиса</t>
  </si>
  <si>
    <t>Ташкент, сквер Амира Темура</t>
  </si>
  <si>
    <t>41.311151, 69.279737</t>
  </si>
  <si>
    <t>Говядина прессованное мясо</t>
  </si>
  <si>
    <t>Юнус Обод 18 КВ, Centromed klinikasi, заказ чикишидан олдин тел килиш имкони бор а?</t>
  </si>
  <si>
    <t>Конина тараш рулет</t>
  </si>
  <si>
    <t>Мухтабар</t>
  </si>
  <si>
    <t>Ташкент, улица Тараса Шевченко, 38</t>
  </si>
  <si>
    <t>41.296754, 69.280553</t>
  </si>
  <si>
    <t>Сливки Сваля</t>
  </si>
  <si>
    <t>Говяжий рулет со свекольным соком</t>
  </si>
  <si>
    <t>Казы вяленное варенный</t>
  </si>
  <si>
    <t>Казы мраморное</t>
  </si>
  <si>
    <t>Бурхонова Хикоят</t>
  </si>
  <si>
    <t>Мадрид, Calle Espoz y Mina</t>
  </si>
  <si>
    <t>40.416500, -3.702560</t>
  </si>
  <si>
    <t>Казы в оболочке</t>
  </si>
  <si>
    <t>Куриной рулет тандыр</t>
  </si>
  <si>
    <t>Рулет говяжий с ёлкой</t>
  </si>
  <si>
    <t xml:space="preserve">Abdullatif </t>
  </si>
  <si>
    <t>Ташкент, Яккасарайский район, махаллинский сход граждан Дилбулак</t>
  </si>
  <si>
    <t>41.274143, 69.244267</t>
  </si>
  <si>
    <t>Копчёный курдюк</t>
  </si>
  <si>
    <t>Цыплёнок тандыр (целый)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</si>
</sst>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 h:mm"/>
    <numFmt numFmtId="165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20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1" xfId="0" applyFont="1" applyNumberFormat="1"/>
    <xf borderId="0" fillId="0" fontId="1" numFmtId="0" xfId="0" applyFont="1"/>
    <xf borderId="0" fillId="0" fontId="1" numFmtId="49" xfId="0" applyFont="1" applyNumberFormat="1"/>
    <xf borderId="0" fillId="0" fontId="1" numFmtId="49" xfId="0" applyFont="1" applyNumberFormat="1"/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Заказы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isher Musayev" id="{7add811d-2705-4f4a-b2d7-35a6a5e42009}" providerId="google-sheets"/>
</x18tc:personList>
</file>

<file path=xl/tables/table1.xml><?xml version="1.0" encoding="utf-8"?>
<table xmlns="http://schemas.openxmlformats.org/spreadsheetml/2006/main" ref="A1:Q53" displayName="Order_Details" name="Order_Details" id="1">
  <tableColumns count="17">
    <tableColumn name="ID" id="1"/>
    <tableColumn name="Заказан в" id="2"/>
    <tableColumn name="Время заказа" id="3"/>
    <tableColumn name="Заказ на дату" id="4"/>
    <tableColumn name="На время" id="5"/>
    <tableColumn name="Клиент" id="6"/>
    <tableColumn name="Номер телефона" id="7"/>
    <tableColumn name="Адрес клиента" id="8"/>
    <tableColumn name="Долгота и широта" id="9"/>
    <tableColumn name="Название товара" id="10"/>
    <tableColumn name="Кол-во" id="11"/>
    <tableColumn name="Цена" id="12"/>
    <tableColumn name="Сумма" id="13"/>
    <tableColumn name="Комментарии" id="14"/>
    <tableColumn name="Способ оплаты" id="15"/>
    <tableColumn name="Статус заказа" id="16"/>
    <tableColumn name="Оплачено ?" id="17"/>
  </tableColumns>
  <tableStyleInfo name="Заказ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6-28T13:50:00.00" personId="{7add811d-2705-4f4a-b2d7-35a6a5e42009}" id="{fe408988-6014-422f-9440-b8aa53fafd7b}" done="0">
    <x18tc:text xml:space="preserve">Шунаками 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imagizer.imageshack.com/img922/594/0rmEH4.jpg" TargetMode="External"/><Relationship Id="rId42" Type="http://schemas.openxmlformats.org/officeDocument/2006/relationships/hyperlink" Target="https://imagizer.imageshack.com/img923/6590/Dt54QT.jpg" TargetMode="External"/><Relationship Id="rId41" Type="http://schemas.openxmlformats.org/officeDocument/2006/relationships/hyperlink" Target="https://imagizer.imageshack.com/img923/3875/n8YQPL.png" TargetMode="External"/><Relationship Id="rId44" Type="http://schemas.openxmlformats.org/officeDocument/2006/relationships/hyperlink" Target="https://imagizer.imageshack.com/img924/380/UoCeO3.png" TargetMode="External"/><Relationship Id="rId43" Type="http://schemas.openxmlformats.org/officeDocument/2006/relationships/hyperlink" Target="https://imagizer.imageshack.com/img924/3397/pAmdNG.jpg" TargetMode="External"/><Relationship Id="rId46" Type="http://schemas.openxmlformats.org/officeDocument/2006/relationships/hyperlink" Target="https://imagizer.imageshack.com/img924/6697/NGtfDM.jpg" TargetMode="External"/><Relationship Id="rId45" Type="http://schemas.openxmlformats.org/officeDocument/2006/relationships/hyperlink" Target="https://imagizer.imageshack.com/img922/7213/acSQvl.jpg" TargetMode="External"/><Relationship Id="rId1" Type="http://schemas.openxmlformats.org/officeDocument/2006/relationships/hyperlink" Target="https://imagizer.imageshack.com/img923/5420/jK1bQE.jpg" TargetMode="External"/><Relationship Id="rId2" Type="http://schemas.openxmlformats.org/officeDocument/2006/relationships/hyperlink" Target="https://imagizer.imageshack.com/img922/1205/0BdDLb.png" TargetMode="External"/><Relationship Id="rId3" Type="http://schemas.openxmlformats.org/officeDocument/2006/relationships/hyperlink" Target="https://imagizer.imageshack.com/img922/5443/NH97mN.png" TargetMode="External"/><Relationship Id="rId4" Type="http://schemas.openxmlformats.org/officeDocument/2006/relationships/hyperlink" Target="https://imagizer.imageshack.com/img923/289/ASTgOa.jpg" TargetMode="External"/><Relationship Id="rId9" Type="http://schemas.openxmlformats.org/officeDocument/2006/relationships/hyperlink" Target="https://imagizer.imageshack.com/img923/3069/dGdbM6.jpg" TargetMode="External"/><Relationship Id="rId48" Type="http://schemas.openxmlformats.org/officeDocument/2006/relationships/hyperlink" Target="https://i.postimg.cc/yxmqQQGb/d38449a9-649c-4985-baf9-58065bdcc862.jpg" TargetMode="External"/><Relationship Id="rId47" Type="http://schemas.openxmlformats.org/officeDocument/2006/relationships/hyperlink" Target="https://i.postimg.cc/W49prL5w/Chat-GPT-Image-16-anv-2026-g-21-45-32.png" TargetMode="External"/><Relationship Id="rId49" Type="http://schemas.openxmlformats.org/officeDocument/2006/relationships/hyperlink" Target="https://i.postimg.cc/v8cJR81c/74467a55-4574-4bf1-895c-aeabfc702c62.jpg" TargetMode="External"/><Relationship Id="rId5" Type="http://schemas.openxmlformats.org/officeDocument/2006/relationships/hyperlink" Target="https://imagizer.imageshack.com/img924/7690/WfNFct.png" TargetMode="External"/><Relationship Id="rId6" Type="http://schemas.openxmlformats.org/officeDocument/2006/relationships/hyperlink" Target="https://imagizer.imageshack.com/img924/6458/aKJ542.jpg" TargetMode="External"/><Relationship Id="rId7" Type="http://schemas.openxmlformats.org/officeDocument/2006/relationships/hyperlink" Target="https://imagizer.imageshack.com/img922/6167/hgVNIk.png" TargetMode="External"/><Relationship Id="rId8" Type="http://schemas.openxmlformats.org/officeDocument/2006/relationships/hyperlink" Target="https://imagizer.imageshack.com/img923/5940/nxhbLH.png" TargetMode="External"/><Relationship Id="rId31" Type="http://schemas.openxmlformats.org/officeDocument/2006/relationships/hyperlink" Target="https://imagizer.imageshack.com/img924/2235/19S198.png" TargetMode="External"/><Relationship Id="rId30" Type="http://schemas.openxmlformats.org/officeDocument/2006/relationships/hyperlink" Target="https://imagizer.imageshack.com/img924/453/qqBnct.png" TargetMode="External"/><Relationship Id="rId33" Type="http://schemas.openxmlformats.org/officeDocument/2006/relationships/hyperlink" Target="https://imagizer.imageshack.com/img922/1142/ELu7Lz.jpg" TargetMode="External"/><Relationship Id="rId32" Type="http://schemas.openxmlformats.org/officeDocument/2006/relationships/hyperlink" Target="https://imagizer.imageshack.com/img924/453/qqBnct.png" TargetMode="External"/><Relationship Id="rId35" Type="http://schemas.openxmlformats.org/officeDocument/2006/relationships/hyperlink" Target="https://imagizer.imageshack.com/img922/4906/vYjAuo.jpg" TargetMode="External"/><Relationship Id="rId34" Type="http://schemas.openxmlformats.org/officeDocument/2006/relationships/hyperlink" Target="https://imagizer.imageshack.com/img924/9435/Dvl9nS.png" TargetMode="External"/><Relationship Id="rId37" Type="http://schemas.openxmlformats.org/officeDocument/2006/relationships/hyperlink" Target="https://imagizer.imageshack.com/img922/6277/ThbUmB.png" TargetMode="External"/><Relationship Id="rId36" Type="http://schemas.openxmlformats.org/officeDocument/2006/relationships/hyperlink" Target="https://imagizer.imageshack.com/img923/4690/EdSd34.jpg" TargetMode="External"/><Relationship Id="rId39" Type="http://schemas.openxmlformats.org/officeDocument/2006/relationships/hyperlink" Target="https://imagizer.imageshack.com/img924/4930/f2sikm.jpg" TargetMode="External"/><Relationship Id="rId38" Type="http://schemas.openxmlformats.org/officeDocument/2006/relationships/hyperlink" Target="https://imagizer.imageshack.com/img923/3875/n8YQPL.png" TargetMode="External"/><Relationship Id="rId20" Type="http://schemas.openxmlformats.org/officeDocument/2006/relationships/hyperlink" Target="https://imagizer.imageshack.com/img922/9315/wLYrK2.png" TargetMode="External"/><Relationship Id="rId22" Type="http://schemas.openxmlformats.org/officeDocument/2006/relationships/hyperlink" Target="https://imagizer.imageshack.com/img922/736/okM4hp.png" TargetMode="External"/><Relationship Id="rId21" Type="http://schemas.openxmlformats.org/officeDocument/2006/relationships/hyperlink" Target="https://imagizer.imageshack.com/img923/2457/kKaI1O.png" TargetMode="External"/><Relationship Id="rId24" Type="http://schemas.openxmlformats.org/officeDocument/2006/relationships/hyperlink" Target="https://imagizer.imageshack.com/img922/266/xeEoYZ.jpg" TargetMode="External"/><Relationship Id="rId23" Type="http://schemas.openxmlformats.org/officeDocument/2006/relationships/hyperlink" Target="https://imagizer.imageshack.com/img922/1475/xGzaXx.png" TargetMode="External"/><Relationship Id="rId26" Type="http://schemas.openxmlformats.org/officeDocument/2006/relationships/hyperlink" Target="https://imagizer.imageshack.com/img924/3458/B0Z0cj.png" TargetMode="External"/><Relationship Id="rId25" Type="http://schemas.openxmlformats.org/officeDocument/2006/relationships/hyperlink" Target="https://imagizer.imageshack.com/img924/8548/h56CZs.jpg" TargetMode="External"/><Relationship Id="rId28" Type="http://schemas.openxmlformats.org/officeDocument/2006/relationships/hyperlink" Target="https://imagizer.imageshack.com/img924/4724/ZgTtn1.jpg" TargetMode="External"/><Relationship Id="rId27" Type="http://schemas.openxmlformats.org/officeDocument/2006/relationships/hyperlink" Target="https://imagizer.imageshack.com/img922/3217/KyeWrL.jpg" TargetMode="External"/><Relationship Id="rId29" Type="http://schemas.openxmlformats.org/officeDocument/2006/relationships/hyperlink" Target="https://imagizer.imageshack.com/img924/3458/B0Z0cj.png" TargetMode="External"/><Relationship Id="rId51" Type="http://schemas.openxmlformats.org/officeDocument/2006/relationships/hyperlink" Target="https://i.postimg.cc/vTQP8sMS/c01a8a4a-38f4-4fb1-8265-2e68b5d7f2e6.jpg" TargetMode="External"/><Relationship Id="rId50" Type="http://schemas.openxmlformats.org/officeDocument/2006/relationships/hyperlink" Target="https://i.postimg.cc/nzQND0fV/0a7e5493-5380-4fc6-ada5-bbe63f2a3be1.jpg" TargetMode="External"/><Relationship Id="rId53" Type="http://schemas.openxmlformats.org/officeDocument/2006/relationships/hyperlink" Target="https://i.postimg.cc/7LSdx4jw/c5149eb7-a25a-4273-91d0-1566f82aac0b.jpg" TargetMode="External"/><Relationship Id="rId52" Type="http://schemas.openxmlformats.org/officeDocument/2006/relationships/hyperlink" Target="https://i.postimg.cc/kMQFM4jw/goroden.jpg" TargetMode="External"/><Relationship Id="rId11" Type="http://schemas.openxmlformats.org/officeDocument/2006/relationships/hyperlink" Target="https://imagizer.imageshack.com/img923/6990/qRAtKj.png" TargetMode="External"/><Relationship Id="rId10" Type="http://schemas.openxmlformats.org/officeDocument/2006/relationships/hyperlink" Target="https://imagizer.imageshack.com/img923/4192/CrchBF.png" TargetMode="External"/><Relationship Id="rId54" Type="http://schemas.openxmlformats.org/officeDocument/2006/relationships/drawing" Target="../drawings/drawing2.xml"/><Relationship Id="rId13" Type="http://schemas.openxmlformats.org/officeDocument/2006/relationships/hyperlink" Target="https://imagizer.imageshack.com/img923/5152/z1nkH7.jpg" TargetMode="External"/><Relationship Id="rId12" Type="http://schemas.openxmlformats.org/officeDocument/2006/relationships/hyperlink" Target="https://imagizer.imageshack.com/img922/8510/GmmPoa.jpg" TargetMode="External"/><Relationship Id="rId15" Type="http://schemas.openxmlformats.org/officeDocument/2006/relationships/hyperlink" Target="https://imagizer.imageshack.com/img924/8548/h56CZs.jpg" TargetMode="External"/><Relationship Id="rId14" Type="http://schemas.openxmlformats.org/officeDocument/2006/relationships/hyperlink" Target="https://imagizer.imageshack.com/img923/623/HVzZP2.jpg" TargetMode="External"/><Relationship Id="rId17" Type="http://schemas.openxmlformats.org/officeDocument/2006/relationships/hyperlink" Target="https://imagizer.imageshack.com/img922/4175/OR1Yzm.jpg" TargetMode="External"/><Relationship Id="rId16" Type="http://schemas.openxmlformats.org/officeDocument/2006/relationships/hyperlink" Target="https://imagizer.imageshack.com/img924/966/tElaQ1.jpg" TargetMode="External"/><Relationship Id="rId19" Type="http://schemas.openxmlformats.org/officeDocument/2006/relationships/hyperlink" Target="https://imagizer.imageshack.com/img924/2130/HTftCd.jpg" TargetMode="External"/><Relationship Id="rId18" Type="http://schemas.openxmlformats.org/officeDocument/2006/relationships/hyperlink" Target="https://imagizer.imageshack.com/img923/6220/sIw3My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6.5"/>
    <col customWidth="1" min="3" max="3" width="8.63"/>
    <col customWidth="1" min="4" max="4" width="14.63"/>
    <col customWidth="1" min="5" max="5" width="9.5"/>
    <col customWidth="1" min="6" max="6" width="18.13"/>
    <col customWidth="1" min="7" max="7" width="14.25"/>
    <col customWidth="1" min="8" max="8" width="25.88"/>
    <col customWidth="1" min="9" max="9" width="12.25"/>
    <col customWidth="1" min="10" max="10" width="18.5"/>
    <col customWidth="1" min="11" max="11" width="9.25"/>
    <col customWidth="1" min="12" max="12" width="8.13"/>
    <col customWidth="1" min="13" max="13" width="9.88"/>
    <col customWidth="1" min="14" max="14" width="16.25"/>
    <col customWidth="1" min="15" max="15" width="20.75"/>
    <col customWidth="1" min="16" max="16" width="13.13"/>
    <col customWidth="1" min="17" max="17" width="1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62003.0</v>
      </c>
      <c r="B2" s="3">
        <v>45936.066666666666</v>
      </c>
      <c r="C2" s="4">
        <v>0.10694444444444444</v>
      </c>
      <c r="D2" s="5">
        <v>45935.0</v>
      </c>
      <c r="E2" s="4">
        <v>0.10694444444444444</v>
      </c>
      <c r="F2" s="6" t="s">
        <v>17</v>
      </c>
      <c r="G2" s="2">
        <v>9.98994067406E11</v>
      </c>
      <c r="H2" s="6" t="s">
        <v>18</v>
      </c>
      <c r="I2" s="6" t="s">
        <v>19</v>
      </c>
      <c r="J2" s="6" t="s">
        <v>20</v>
      </c>
      <c r="K2" s="2">
        <v>5.0</v>
      </c>
      <c r="L2" s="2">
        <v>1200.0</v>
      </c>
      <c r="M2" s="2">
        <v>6000.0</v>
      </c>
      <c r="N2" s="6" t="s">
        <v>21</v>
      </c>
      <c r="O2" s="6" t="s">
        <v>22</v>
      </c>
      <c r="P2" s="7" t="s">
        <v>23</v>
      </c>
      <c r="Q2" s="8" t="s">
        <v>24</v>
      </c>
    </row>
    <row r="3" ht="22.5" customHeight="1">
      <c r="A3" s="2">
        <v>62003.0</v>
      </c>
      <c r="B3" s="3">
        <v>45936.066666666666</v>
      </c>
      <c r="C3" s="4">
        <v>0.10694444444444444</v>
      </c>
      <c r="D3" s="5">
        <v>45935.0</v>
      </c>
      <c r="E3" s="4">
        <v>0.10694444444444444</v>
      </c>
      <c r="F3" s="6" t="s">
        <v>17</v>
      </c>
      <c r="G3" s="2">
        <v>9.98994067406E11</v>
      </c>
      <c r="H3" s="6" t="s">
        <v>18</v>
      </c>
      <c r="I3" s="6" t="s">
        <v>19</v>
      </c>
      <c r="J3" s="6" t="s">
        <v>25</v>
      </c>
      <c r="K3" s="2">
        <v>3.0</v>
      </c>
      <c r="L3" s="2">
        <v>1200.0</v>
      </c>
      <c r="M3" s="2">
        <v>3600.0</v>
      </c>
      <c r="N3" s="6" t="s">
        <v>21</v>
      </c>
      <c r="O3" s="6" t="s">
        <v>22</v>
      </c>
      <c r="P3" s="7" t="s">
        <v>23</v>
      </c>
      <c r="Q3" s="8" t="s">
        <v>24</v>
      </c>
    </row>
    <row r="4" ht="22.5" customHeight="1">
      <c r="A4" s="2">
        <v>62003.0</v>
      </c>
      <c r="B4" s="3">
        <v>45936.066666666666</v>
      </c>
      <c r="C4" s="4">
        <v>0.10694444444444444</v>
      </c>
      <c r="D4" s="5">
        <v>45935.0</v>
      </c>
      <c r="E4" s="4">
        <v>0.10694444444444444</v>
      </c>
      <c r="F4" s="6" t="s">
        <v>17</v>
      </c>
      <c r="G4" s="2">
        <v>9.98994067406E11</v>
      </c>
      <c r="H4" s="6" t="s">
        <v>18</v>
      </c>
      <c r="I4" s="6" t="s">
        <v>19</v>
      </c>
      <c r="J4" s="6" t="s">
        <v>26</v>
      </c>
      <c r="K4" s="2">
        <v>1.5</v>
      </c>
      <c r="L4" s="2">
        <v>1200.0</v>
      </c>
      <c r="M4" s="2">
        <v>1800.0</v>
      </c>
      <c r="N4" s="6" t="s">
        <v>21</v>
      </c>
      <c r="O4" s="6" t="s">
        <v>22</v>
      </c>
      <c r="P4" s="7" t="s">
        <v>23</v>
      </c>
      <c r="Q4" s="8" t="s">
        <v>24</v>
      </c>
    </row>
    <row r="5" ht="22.5" customHeight="1">
      <c r="A5" s="9">
        <v>17310.0</v>
      </c>
      <c r="B5" s="10">
        <v>45936.20833333333</v>
      </c>
      <c r="C5" s="11">
        <v>0.4618055555555556</v>
      </c>
      <c r="D5" s="12">
        <v>45935.20833333333</v>
      </c>
      <c r="E5" s="11">
        <v>0.04791666666666667</v>
      </c>
      <c r="F5" s="7" t="s">
        <v>27</v>
      </c>
      <c r="G5" s="9">
        <v>9.98994067408E11</v>
      </c>
      <c r="H5" s="7" t="s">
        <v>28</v>
      </c>
      <c r="I5" s="7" t="s">
        <v>29</v>
      </c>
      <c r="J5" s="7" t="s">
        <v>30</v>
      </c>
      <c r="K5" s="9">
        <v>1.0</v>
      </c>
      <c r="L5" s="9">
        <v>2000.0</v>
      </c>
      <c r="M5" s="9">
        <v>2000.0</v>
      </c>
      <c r="N5" s="7"/>
      <c r="O5" s="7" t="s">
        <v>31</v>
      </c>
      <c r="P5" s="7" t="s">
        <v>32</v>
      </c>
      <c r="Q5" s="13" t="s">
        <v>24</v>
      </c>
    </row>
    <row r="6" ht="22.5" customHeight="1">
      <c r="A6" s="9">
        <v>17310.0</v>
      </c>
      <c r="B6" s="10">
        <v>45936.20833333333</v>
      </c>
      <c r="C6" s="11">
        <v>0.4618055555555556</v>
      </c>
      <c r="D6" s="12">
        <v>45935.20833333333</v>
      </c>
      <c r="E6" s="11">
        <v>0.04791666666666667</v>
      </c>
      <c r="F6" s="7" t="s">
        <v>27</v>
      </c>
      <c r="G6" s="9">
        <v>9.98994067408E11</v>
      </c>
      <c r="H6" s="7" t="s">
        <v>28</v>
      </c>
      <c r="I6" s="7" t="s">
        <v>29</v>
      </c>
      <c r="J6" s="7" t="s">
        <v>33</v>
      </c>
      <c r="K6" s="9">
        <v>1.0</v>
      </c>
      <c r="L6" s="9">
        <v>2000.0</v>
      </c>
      <c r="M6" s="9">
        <v>2000.0</v>
      </c>
      <c r="N6" s="7"/>
      <c r="O6" s="7" t="s">
        <v>31</v>
      </c>
      <c r="P6" s="7" t="s">
        <v>32</v>
      </c>
      <c r="Q6" s="13" t="s">
        <v>24</v>
      </c>
    </row>
    <row r="7" ht="22.5" customHeight="1">
      <c r="A7" s="9">
        <v>17310.0</v>
      </c>
      <c r="B7" s="10">
        <v>45936.20833333333</v>
      </c>
      <c r="C7" s="11">
        <v>0.4618055555555556</v>
      </c>
      <c r="D7" s="12">
        <v>45935.20833333333</v>
      </c>
      <c r="E7" s="11">
        <v>0.04791666666666667</v>
      </c>
      <c r="F7" s="7" t="s">
        <v>27</v>
      </c>
      <c r="G7" s="9">
        <v>9.98994067408E11</v>
      </c>
      <c r="H7" s="7" t="s">
        <v>28</v>
      </c>
      <c r="I7" s="7" t="s">
        <v>29</v>
      </c>
      <c r="J7" s="7" t="s">
        <v>34</v>
      </c>
      <c r="K7" s="9">
        <v>1.0</v>
      </c>
      <c r="L7" s="9">
        <v>2000.0</v>
      </c>
      <c r="M7" s="9">
        <v>2000.0</v>
      </c>
      <c r="N7" s="7"/>
      <c r="O7" s="7" t="s">
        <v>31</v>
      </c>
      <c r="P7" s="7" t="s">
        <v>32</v>
      </c>
      <c r="Q7" s="13" t="s">
        <v>24</v>
      </c>
    </row>
    <row r="8" ht="22.5" customHeight="1">
      <c r="A8" s="9">
        <v>17310.0</v>
      </c>
      <c r="B8" s="10">
        <v>45936.20833333333</v>
      </c>
      <c r="C8" s="11">
        <v>0.4618055555555556</v>
      </c>
      <c r="D8" s="12">
        <v>45935.20833333333</v>
      </c>
      <c r="E8" s="11">
        <v>0.04791666666666667</v>
      </c>
      <c r="F8" s="7" t="s">
        <v>27</v>
      </c>
      <c r="G8" s="9">
        <v>9.98994067408E11</v>
      </c>
      <c r="H8" s="7" t="s">
        <v>28</v>
      </c>
      <c r="I8" s="7" t="s">
        <v>29</v>
      </c>
      <c r="J8" s="7" t="s">
        <v>35</v>
      </c>
      <c r="K8" s="9">
        <v>1.0</v>
      </c>
      <c r="L8" s="9">
        <v>1200.0</v>
      </c>
      <c r="M8" s="9">
        <v>1200.0</v>
      </c>
      <c r="N8" s="7"/>
      <c r="O8" s="7" t="s">
        <v>31</v>
      </c>
      <c r="P8" s="7" t="s">
        <v>32</v>
      </c>
      <c r="Q8" s="13" t="s">
        <v>24</v>
      </c>
    </row>
    <row r="9" ht="22.5" customHeight="1">
      <c r="A9" s="9">
        <v>42822.0</v>
      </c>
      <c r="B9" s="10">
        <v>45937.20833333333</v>
      </c>
      <c r="C9" s="11">
        <v>0.1326388888888889</v>
      </c>
      <c r="D9" s="12">
        <v>45937.20833333333</v>
      </c>
      <c r="E9" s="11">
        <v>0.1326388888888889</v>
      </c>
      <c r="F9" s="7" t="s">
        <v>36</v>
      </c>
      <c r="G9" s="9">
        <v>9.98995552233E11</v>
      </c>
      <c r="H9" s="7" t="s">
        <v>37</v>
      </c>
      <c r="I9" s="7" t="s">
        <v>38</v>
      </c>
      <c r="J9" s="7" t="s">
        <v>39</v>
      </c>
      <c r="K9" s="9">
        <v>1.0</v>
      </c>
      <c r="L9" s="9">
        <v>1200.0</v>
      </c>
      <c r="M9" s="9">
        <v>1200.0</v>
      </c>
      <c r="N9" s="7" t="s">
        <v>40</v>
      </c>
      <c r="O9" s="7" t="s">
        <v>22</v>
      </c>
      <c r="P9" s="7" t="s">
        <v>41</v>
      </c>
      <c r="Q9" s="13" t="s">
        <v>24</v>
      </c>
    </row>
    <row r="10" ht="22.5" customHeight="1">
      <c r="A10" s="9">
        <v>42822.0</v>
      </c>
      <c r="B10" s="10">
        <v>45937.20833333333</v>
      </c>
      <c r="C10" s="11">
        <v>0.1326388888888889</v>
      </c>
      <c r="D10" s="12">
        <v>45937.20833333333</v>
      </c>
      <c r="E10" s="11">
        <v>0.1326388888888889</v>
      </c>
      <c r="F10" s="7" t="s">
        <v>36</v>
      </c>
      <c r="G10" s="9">
        <v>9.98995552233E11</v>
      </c>
      <c r="H10" s="7" t="s">
        <v>37</v>
      </c>
      <c r="I10" s="7" t="s">
        <v>38</v>
      </c>
      <c r="J10" s="7" t="s">
        <v>42</v>
      </c>
      <c r="K10" s="9">
        <v>25.0</v>
      </c>
      <c r="L10" s="9">
        <v>1200.0</v>
      </c>
      <c r="M10" s="9">
        <v>30000.0</v>
      </c>
      <c r="N10" s="7" t="s">
        <v>40</v>
      </c>
      <c r="O10" s="7" t="s">
        <v>22</v>
      </c>
      <c r="P10" s="7" t="s">
        <v>41</v>
      </c>
      <c r="Q10" s="13" t="s">
        <v>24</v>
      </c>
    </row>
    <row r="11" ht="22.5" customHeight="1">
      <c r="A11" s="9">
        <v>89676.0</v>
      </c>
      <c r="B11" s="10">
        <v>45951.927083333336</v>
      </c>
      <c r="C11" s="11">
        <v>0.9673611111111111</v>
      </c>
      <c r="D11" s="12">
        <v>45951.0</v>
      </c>
      <c r="E11" s="11">
        <v>0.9673611111111111</v>
      </c>
      <c r="F11" s="7" t="s">
        <v>43</v>
      </c>
      <c r="G11" s="9">
        <v>7994067406</v>
      </c>
      <c r="H11" s="7" t="s">
        <v>44</v>
      </c>
      <c r="I11" s="7" t="s">
        <v>45</v>
      </c>
      <c r="J11" s="7" t="s">
        <v>46</v>
      </c>
      <c r="K11" s="9">
        <v>6.0</v>
      </c>
      <c r="L11" s="9">
        <v>1200.0</v>
      </c>
      <c r="M11" s="9">
        <v>7200.0</v>
      </c>
      <c r="N11" s="7"/>
      <c r="O11" s="7" t="s">
        <v>22</v>
      </c>
      <c r="P11" s="7" t="s">
        <v>47</v>
      </c>
      <c r="Q11" s="13"/>
    </row>
    <row r="12" ht="22.5" customHeight="1">
      <c r="A12" s="9">
        <v>76203.0</v>
      </c>
      <c r="B12" s="10">
        <v>46004.60138888889</v>
      </c>
      <c r="C12" s="11">
        <v>0.6402777777777777</v>
      </c>
      <c r="D12" s="12">
        <v>46004.0</v>
      </c>
      <c r="E12" s="11">
        <v>0.6402777777777777</v>
      </c>
      <c r="F12" s="7" t="s">
        <v>48</v>
      </c>
      <c r="G12" s="9">
        <v>998931050515</v>
      </c>
      <c r="H12" s="7" t="s">
        <v>49</v>
      </c>
      <c r="I12" s="7" t="s">
        <v>50</v>
      </c>
      <c r="J12" s="7" t="s">
        <v>51</v>
      </c>
      <c r="K12" s="9">
        <v>0.9</v>
      </c>
      <c r="L12" s="9">
        <v>160000.0</v>
      </c>
      <c r="M12" s="9">
        <v>144000.0</v>
      </c>
      <c r="N12" s="7" t="s">
        <v>52</v>
      </c>
      <c r="O12" s="7" t="s">
        <v>31</v>
      </c>
      <c r="P12" s="7" t="s">
        <v>47</v>
      </c>
      <c r="Q12" s="13"/>
    </row>
    <row r="13" ht="22.5" customHeight="1">
      <c r="A13" s="9">
        <v>76203.0</v>
      </c>
      <c r="B13" s="10">
        <v>46004.60138888889</v>
      </c>
      <c r="C13" s="11">
        <v>0.6402777777777777</v>
      </c>
      <c r="D13" s="12">
        <v>46004.0</v>
      </c>
      <c r="E13" s="11">
        <v>0.6402777777777777</v>
      </c>
      <c r="F13" s="7" t="s">
        <v>48</v>
      </c>
      <c r="G13" s="9">
        <v>998931050515</v>
      </c>
      <c r="H13" s="7" t="s">
        <v>49</v>
      </c>
      <c r="I13" s="7" t="s">
        <v>50</v>
      </c>
      <c r="J13" s="7" t="s">
        <v>53</v>
      </c>
      <c r="K13" s="9">
        <v>1.0</v>
      </c>
      <c r="L13" s="9">
        <v>145000.0</v>
      </c>
      <c r="M13" s="9">
        <v>145000.0</v>
      </c>
      <c r="N13" s="7" t="s">
        <v>52</v>
      </c>
      <c r="O13" s="7" t="s">
        <v>31</v>
      </c>
      <c r="P13" s="7" t="s">
        <v>47</v>
      </c>
      <c r="Q13" s="13"/>
    </row>
    <row r="14" ht="22.5" customHeight="1">
      <c r="A14" s="9">
        <v>13818.0</v>
      </c>
      <c r="B14" s="10">
        <v>46005.00347222222</v>
      </c>
      <c r="C14" s="11">
        <v>0.04513888888888889</v>
      </c>
      <c r="D14" s="12">
        <v>46004.0</v>
      </c>
      <c r="E14" s="11">
        <v>0.04513888888888889</v>
      </c>
      <c r="F14" s="7" t="s">
        <v>54</v>
      </c>
      <c r="G14" s="9">
        <v>998994067406</v>
      </c>
      <c r="H14" s="7" t="s">
        <v>55</v>
      </c>
      <c r="I14" s="7" t="s">
        <v>56</v>
      </c>
      <c r="J14" s="7" t="s">
        <v>57</v>
      </c>
      <c r="K14" s="9">
        <v>2.0</v>
      </c>
      <c r="L14" s="9">
        <v>175000.0</v>
      </c>
      <c r="M14" s="9">
        <v>350000.0</v>
      </c>
      <c r="N14" s="7" t="s">
        <v>58</v>
      </c>
      <c r="O14" s="7" t="s">
        <v>31</v>
      </c>
      <c r="P14" s="7" t="s">
        <v>47</v>
      </c>
      <c r="Q14" s="13"/>
    </row>
    <row r="15" ht="22.5" customHeight="1">
      <c r="A15" s="9">
        <v>41540.0</v>
      </c>
      <c r="B15" s="10">
        <v>46005.00486111111</v>
      </c>
      <c r="C15" s="11">
        <v>0.04652777777777778</v>
      </c>
      <c r="D15" s="12">
        <v>46004.0</v>
      </c>
      <c r="E15" s="11">
        <v>0.04652777777777778</v>
      </c>
      <c r="F15" s="7" t="s">
        <v>54</v>
      </c>
      <c r="G15" s="9">
        <v>998994067406</v>
      </c>
      <c r="H15" s="7" t="s">
        <v>59</v>
      </c>
      <c r="I15" s="7" t="s">
        <v>60</v>
      </c>
      <c r="J15" s="7" t="s">
        <v>57</v>
      </c>
      <c r="K15" s="9">
        <v>1.0</v>
      </c>
      <c r="L15" s="9">
        <v>175000.0</v>
      </c>
      <c r="M15" s="9">
        <v>175000.0</v>
      </c>
      <c r="N15" s="7" t="s">
        <v>58</v>
      </c>
      <c r="O15" s="7" t="s">
        <v>31</v>
      </c>
      <c r="P15" s="7" t="s">
        <v>47</v>
      </c>
      <c r="Q15" s="13"/>
    </row>
    <row r="16" ht="22.5" customHeight="1">
      <c r="A16" s="9">
        <v>41540.0</v>
      </c>
      <c r="B16" s="10">
        <v>46005.00486111111</v>
      </c>
      <c r="C16" s="11">
        <v>0.04652777777777778</v>
      </c>
      <c r="D16" s="12">
        <v>46004.0</v>
      </c>
      <c r="E16" s="11">
        <v>0.04652777777777778</v>
      </c>
      <c r="F16" s="7" t="s">
        <v>54</v>
      </c>
      <c r="G16" s="9">
        <v>998994067406</v>
      </c>
      <c r="H16" s="7" t="s">
        <v>59</v>
      </c>
      <c r="I16" s="7" t="s">
        <v>60</v>
      </c>
      <c r="J16" s="7" t="s">
        <v>61</v>
      </c>
      <c r="K16" s="9">
        <v>1.0</v>
      </c>
      <c r="L16" s="9">
        <v>140000.0</v>
      </c>
      <c r="M16" s="9">
        <v>140000.0</v>
      </c>
      <c r="N16" s="7" t="s">
        <v>58</v>
      </c>
      <c r="O16" s="7" t="s">
        <v>31</v>
      </c>
      <c r="P16" s="7" t="s">
        <v>47</v>
      </c>
      <c r="Q16" s="13"/>
    </row>
    <row r="17" ht="22.5" customHeight="1">
      <c r="A17" s="9">
        <v>41540.0</v>
      </c>
      <c r="B17" s="10">
        <v>46005.00486111111</v>
      </c>
      <c r="C17" s="11">
        <v>0.04652777777777778</v>
      </c>
      <c r="D17" s="12">
        <v>46004.0</v>
      </c>
      <c r="E17" s="11">
        <v>0.04652777777777778</v>
      </c>
      <c r="F17" s="7" t="s">
        <v>54</v>
      </c>
      <c r="G17" s="9">
        <v>998994067406</v>
      </c>
      <c r="H17" s="7" t="s">
        <v>59</v>
      </c>
      <c r="I17" s="7" t="s">
        <v>60</v>
      </c>
      <c r="J17" s="7" t="s">
        <v>62</v>
      </c>
      <c r="K17" s="9">
        <v>1.0</v>
      </c>
      <c r="L17" s="9">
        <v>145000.0</v>
      </c>
      <c r="M17" s="9">
        <v>145000.0</v>
      </c>
      <c r="N17" s="7" t="s">
        <v>58</v>
      </c>
      <c r="O17" s="7" t="s">
        <v>31</v>
      </c>
      <c r="P17" s="7" t="s">
        <v>47</v>
      </c>
      <c r="Q17" s="13"/>
    </row>
    <row r="18" ht="22.5" customHeight="1">
      <c r="A18" s="9">
        <v>12712.0</v>
      </c>
      <c r="B18" s="10">
        <v>46005.00833333333</v>
      </c>
      <c r="C18" s="11">
        <v>0.04652777777777778</v>
      </c>
      <c r="D18" s="12">
        <v>46004.0</v>
      </c>
      <c r="E18" s="11">
        <v>0.04652777777777778</v>
      </c>
      <c r="F18" s="7" t="s">
        <v>54</v>
      </c>
      <c r="G18" s="9">
        <v>998994067406</v>
      </c>
      <c r="H18" s="7" t="s">
        <v>59</v>
      </c>
      <c r="I18" s="7" t="s">
        <v>60</v>
      </c>
      <c r="J18" s="7" t="s">
        <v>63</v>
      </c>
      <c r="K18" s="9">
        <v>1.0</v>
      </c>
      <c r="L18" s="9">
        <v>130000.0</v>
      </c>
      <c r="M18" s="9">
        <v>130000.0</v>
      </c>
      <c r="N18" s="7" t="s">
        <v>64</v>
      </c>
      <c r="O18" s="7" t="s">
        <v>31</v>
      </c>
      <c r="P18" s="7" t="s">
        <v>47</v>
      </c>
      <c r="Q18" s="13"/>
    </row>
    <row r="19" ht="22.5" customHeight="1">
      <c r="A19" s="9">
        <v>12712.0</v>
      </c>
      <c r="B19" s="10">
        <v>46005.00833333333</v>
      </c>
      <c r="C19" s="11">
        <v>0.04652777777777778</v>
      </c>
      <c r="D19" s="12">
        <v>46004.0</v>
      </c>
      <c r="E19" s="11">
        <v>0.04652777777777778</v>
      </c>
      <c r="F19" s="7" t="s">
        <v>54</v>
      </c>
      <c r="G19" s="9">
        <v>998994067406</v>
      </c>
      <c r="H19" s="7" t="s">
        <v>59</v>
      </c>
      <c r="I19" s="7" t="s">
        <v>60</v>
      </c>
      <c r="J19" s="7" t="s">
        <v>65</v>
      </c>
      <c r="K19" s="9">
        <v>1.0</v>
      </c>
      <c r="L19" s="9">
        <v>130000.0</v>
      </c>
      <c r="M19" s="9">
        <v>130000.0</v>
      </c>
      <c r="N19" s="7" t="s">
        <v>64</v>
      </c>
      <c r="O19" s="7" t="s">
        <v>31</v>
      </c>
      <c r="P19" s="7" t="s">
        <v>47</v>
      </c>
      <c r="Q19" s="13"/>
    </row>
    <row r="20" ht="22.5" customHeight="1">
      <c r="A20" s="9">
        <v>12712.0</v>
      </c>
      <c r="B20" s="10">
        <v>46005.00833333333</v>
      </c>
      <c r="C20" s="11">
        <v>0.04652777777777778</v>
      </c>
      <c r="D20" s="12">
        <v>46004.0</v>
      </c>
      <c r="E20" s="11">
        <v>0.04652777777777778</v>
      </c>
      <c r="F20" s="7" t="s">
        <v>54</v>
      </c>
      <c r="G20" s="9">
        <v>998994067406</v>
      </c>
      <c r="H20" s="7" t="s">
        <v>59</v>
      </c>
      <c r="I20" s="7" t="s">
        <v>60</v>
      </c>
      <c r="J20" s="7" t="s">
        <v>66</v>
      </c>
      <c r="K20" s="9">
        <v>1.0</v>
      </c>
      <c r="L20" s="9">
        <v>90000.0</v>
      </c>
      <c r="M20" s="9">
        <v>90000.0</v>
      </c>
      <c r="N20" s="7" t="s">
        <v>64</v>
      </c>
      <c r="O20" s="7" t="s">
        <v>31</v>
      </c>
      <c r="P20" s="7" t="s">
        <v>47</v>
      </c>
      <c r="Q20" s="13"/>
    </row>
    <row r="21" ht="22.5" customHeight="1">
      <c r="A21" s="9">
        <v>79996.0</v>
      </c>
      <c r="B21" s="10">
        <v>46007.65972222222</v>
      </c>
      <c r="C21" s="11">
        <v>0.6993055555555555</v>
      </c>
      <c r="D21" s="12">
        <v>46007.0</v>
      </c>
      <c r="E21" s="11">
        <v>0.6993055555555555</v>
      </c>
      <c r="F21" s="7" t="s">
        <v>54</v>
      </c>
      <c r="G21" s="9">
        <v>99894067406</v>
      </c>
      <c r="H21" s="7" t="s">
        <v>37</v>
      </c>
      <c r="I21" s="7" t="s">
        <v>67</v>
      </c>
      <c r="J21" s="7" t="s">
        <v>68</v>
      </c>
      <c r="K21" s="9">
        <v>1.0</v>
      </c>
      <c r="L21" s="9">
        <v>110000.0</v>
      </c>
      <c r="M21" s="9">
        <v>110000.0</v>
      </c>
      <c r="N21" s="7"/>
      <c r="O21" s="7" t="s">
        <v>22</v>
      </c>
      <c r="P21" s="7" t="s">
        <v>47</v>
      </c>
      <c r="Q21" s="13"/>
    </row>
    <row r="22" ht="22.5" customHeight="1">
      <c r="A22" s="9">
        <v>79996.0</v>
      </c>
      <c r="B22" s="10">
        <v>46007.65972222222</v>
      </c>
      <c r="C22" s="11">
        <v>0.6993055555555555</v>
      </c>
      <c r="D22" s="12">
        <v>46007.0</v>
      </c>
      <c r="E22" s="11">
        <v>0.6993055555555555</v>
      </c>
      <c r="F22" s="7" t="s">
        <v>54</v>
      </c>
      <c r="G22" s="9">
        <v>99894067406</v>
      </c>
      <c r="H22" s="7" t="s">
        <v>37</v>
      </c>
      <c r="I22" s="7" t="s">
        <v>67</v>
      </c>
      <c r="J22" s="7" t="s">
        <v>69</v>
      </c>
      <c r="K22" s="9">
        <v>1.0</v>
      </c>
      <c r="L22" s="9">
        <v>75000.0</v>
      </c>
      <c r="M22" s="9">
        <v>75000.0</v>
      </c>
      <c r="N22" s="7"/>
      <c r="O22" s="7" t="s">
        <v>22</v>
      </c>
      <c r="P22" s="7" t="s">
        <v>47</v>
      </c>
      <c r="Q22" s="13"/>
    </row>
    <row r="23" ht="22.5" customHeight="1">
      <c r="A23" s="9">
        <v>79996.0</v>
      </c>
      <c r="B23" s="10">
        <v>46007.65972222222</v>
      </c>
      <c r="C23" s="11">
        <v>0.6993055555555555</v>
      </c>
      <c r="D23" s="12">
        <v>46007.0</v>
      </c>
      <c r="E23" s="11">
        <v>0.6993055555555555</v>
      </c>
      <c r="F23" s="7" t="s">
        <v>54</v>
      </c>
      <c r="G23" s="9">
        <v>99894067406</v>
      </c>
      <c r="H23" s="7" t="s">
        <v>37</v>
      </c>
      <c r="I23" s="7" t="s">
        <v>67</v>
      </c>
      <c r="J23" s="7" t="s">
        <v>70</v>
      </c>
      <c r="K23" s="9">
        <v>1.0</v>
      </c>
      <c r="L23" s="9">
        <v>190000.0</v>
      </c>
      <c r="M23" s="9">
        <v>190000.0</v>
      </c>
      <c r="N23" s="7"/>
      <c r="O23" s="7" t="s">
        <v>22</v>
      </c>
      <c r="P23" s="7" t="s">
        <v>47</v>
      </c>
      <c r="Q23" s="13"/>
    </row>
    <row r="24" ht="22.5" customHeight="1">
      <c r="A24" s="9">
        <v>35512.0</v>
      </c>
      <c r="B24" s="10">
        <v>46007.666666666664</v>
      </c>
      <c r="C24" s="11">
        <v>0.7069444444444445</v>
      </c>
      <c r="D24" s="12">
        <v>46007.0</v>
      </c>
      <c r="E24" s="11">
        <v>0.7069444444444445</v>
      </c>
      <c r="F24" s="7" t="s">
        <v>54</v>
      </c>
      <c r="G24" s="9">
        <v>998994067406</v>
      </c>
      <c r="H24" s="7" t="s">
        <v>71</v>
      </c>
      <c r="I24" s="7" t="s">
        <v>72</v>
      </c>
      <c r="J24" s="7" t="s">
        <v>63</v>
      </c>
      <c r="K24" s="9">
        <v>3.0</v>
      </c>
      <c r="L24" s="9">
        <v>130000.0</v>
      </c>
      <c r="M24" s="9">
        <v>390000.0</v>
      </c>
      <c r="N24" s="7"/>
      <c r="O24" s="7" t="s">
        <v>22</v>
      </c>
      <c r="P24" s="7" t="s">
        <v>47</v>
      </c>
      <c r="Q24" s="13"/>
    </row>
    <row r="25" ht="22.5" customHeight="1">
      <c r="A25" s="9">
        <v>35512.0</v>
      </c>
      <c r="B25" s="10">
        <v>46007.666666666664</v>
      </c>
      <c r="C25" s="11">
        <v>0.7069444444444445</v>
      </c>
      <c r="D25" s="12">
        <v>46007.0</v>
      </c>
      <c r="E25" s="11">
        <v>0.7069444444444445</v>
      </c>
      <c r="F25" s="7" t="s">
        <v>54</v>
      </c>
      <c r="G25" s="9">
        <v>998994067406</v>
      </c>
      <c r="H25" s="7" t="s">
        <v>71</v>
      </c>
      <c r="I25" s="7" t="s">
        <v>72</v>
      </c>
      <c r="J25" s="7" t="s">
        <v>66</v>
      </c>
      <c r="K25" s="9">
        <v>1.0</v>
      </c>
      <c r="L25" s="9">
        <v>90000.0</v>
      </c>
      <c r="M25" s="9">
        <v>90000.0</v>
      </c>
      <c r="N25" s="7"/>
      <c r="O25" s="7" t="s">
        <v>22</v>
      </c>
      <c r="P25" s="7" t="s">
        <v>47</v>
      </c>
      <c r="Q25" s="13"/>
    </row>
    <row r="26" ht="22.5" customHeight="1">
      <c r="A26" s="9">
        <v>35512.0</v>
      </c>
      <c r="B26" s="10">
        <v>46007.666666666664</v>
      </c>
      <c r="C26" s="11">
        <v>0.7069444444444445</v>
      </c>
      <c r="D26" s="12">
        <v>46007.0</v>
      </c>
      <c r="E26" s="11">
        <v>0.7069444444444445</v>
      </c>
      <c r="F26" s="7" t="s">
        <v>54</v>
      </c>
      <c r="G26" s="9">
        <v>998994067406</v>
      </c>
      <c r="H26" s="7" t="s">
        <v>71</v>
      </c>
      <c r="I26" s="7" t="s">
        <v>72</v>
      </c>
      <c r="J26" s="7" t="s">
        <v>73</v>
      </c>
      <c r="K26" s="9">
        <v>1.0</v>
      </c>
      <c r="L26" s="9">
        <v>95000.0</v>
      </c>
      <c r="M26" s="9">
        <v>95000.0</v>
      </c>
      <c r="N26" s="7"/>
      <c r="O26" s="7" t="s">
        <v>22</v>
      </c>
      <c r="P26" s="7" t="s">
        <v>47</v>
      </c>
      <c r="Q26" s="13"/>
    </row>
    <row r="27" ht="22.5" customHeight="1">
      <c r="A27" s="9">
        <v>35512.0</v>
      </c>
      <c r="B27" s="10">
        <v>46007.666666666664</v>
      </c>
      <c r="C27" s="11">
        <v>0.7069444444444445</v>
      </c>
      <c r="D27" s="12">
        <v>46007.0</v>
      </c>
      <c r="E27" s="11">
        <v>0.7069444444444445</v>
      </c>
      <c r="F27" s="7" t="s">
        <v>54</v>
      </c>
      <c r="G27" s="9">
        <v>998994067406</v>
      </c>
      <c r="H27" s="7" t="s">
        <v>71</v>
      </c>
      <c r="I27" s="7" t="s">
        <v>72</v>
      </c>
      <c r="J27" s="7" t="s">
        <v>74</v>
      </c>
      <c r="K27" s="9">
        <v>1.0</v>
      </c>
      <c r="L27" s="9">
        <v>155000.0</v>
      </c>
      <c r="M27" s="9">
        <v>155000.0</v>
      </c>
      <c r="N27" s="7"/>
      <c r="O27" s="7" t="s">
        <v>22</v>
      </c>
      <c r="P27" s="7" t="s">
        <v>47</v>
      </c>
      <c r="Q27" s="13"/>
    </row>
    <row r="28" ht="22.5" customHeight="1">
      <c r="A28" s="9">
        <v>19752.0</v>
      </c>
      <c r="B28" s="10">
        <v>46007.80902777778</v>
      </c>
      <c r="C28" s="11">
        <v>0.8298611111111112</v>
      </c>
      <c r="D28" s="12">
        <v>46007.0</v>
      </c>
      <c r="E28" s="11">
        <v>0.8298611111111112</v>
      </c>
      <c r="F28" s="7" t="s">
        <v>54</v>
      </c>
      <c r="G28" s="9">
        <v>998994067406</v>
      </c>
      <c r="H28" s="7" t="s">
        <v>75</v>
      </c>
      <c r="I28" s="7" t="s">
        <v>76</v>
      </c>
      <c r="J28" s="7" t="s">
        <v>61</v>
      </c>
      <c r="K28" s="9">
        <v>1.0</v>
      </c>
      <c r="L28" s="9">
        <v>140000.0</v>
      </c>
      <c r="M28" s="9">
        <v>140000.0</v>
      </c>
      <c r="N28" s="7" t="s">
        <v>77</v>
      </c>
      <c r="O28" s="7" t="s">
        <v>22</v>
      </c>
      <c r="P28" s="7" t="s">
        <v>47</v>
      </c>
      <c r="Q28" s="13"/>
    </row>
    <row r="29" ht="22.5" customHeight="1">
      <c r="A29" s="9">
        <v>19752.0</v>
      </c>
      <c r="B29" s="10">
        <v>46007.80902777778</v>
      </c>
      <c r="C29" s="11">
        <v>0.8298611111111112</v>
      </c>
      <c r="D29" s="12">
        <v>46007.0</v>
      </c>
      <c r="E29" s="11">
        <v>0.8298611111111112</v>
      </c>
      <c r="F29" s="7" t="s">
        <v>54</v>
      </c>
      <c r="G29" s="9">
        <v>998994067406</v>
      </c>
      <c r="H29" s="7" t="s">
        <v>75</v>
      </c>
      <c r="I29" s="7" t="s">
        <v>76</v>
      </c>
      <c r="J29" s="7" t="s">
        <v>78</v>
      </c>
      <c r="K29" s="9">
        <v>1.0</v>
      </c>
      <c r="L29" s="9">
        <v>145000.0</v>
      </c>
      <c r="M29" s="9">
        <v>145000.0</v>
      </c>
      <c r="N29" s="7" t="s">
        <v>77</v>
      </c>
      <c r="O29" s="7" t="s">
        <v>22</v>
      </c>
      <c r="P29" s="7" t="s">
        <v>47</v>
      </c>
      <c r="Q29" s="13"/>
    </row>
    <row r="30" ht="22.5" customHeight="1">
      <c r="A30" s="9">
        <v>19752.0</v>
      </c>
      <c r="B30" s="10">
        <v>46007.80902777778</v>
      </c>
      <c r="C30" s="11">
        <v>0.8298611111111112</v>
      </c>
      <c r="D30" s="12">
        <v>46007.0</v>
      </c>
      <c r="E30" s="11">
        <v>0.8298611111111112</v>
      </c>
      <c r="F30" s="7" t="s">
        <v>54</v>
      </c>
      <c r="G30" s="9">
        <v>998994067406</v>
      </c>
      <c r="H30" s="7" t="s">
        <v>75</v>
      </c>
      <c r="I30" s="7" t="s">
        <v>76</v>
      </c>
      <c r="J30" s="7" t="s">
        <v>79</v>
      </c>
      <c r="K30" s="9">
        <v>1.0</v>
      </c>
      <c r="L30" s="9">
        <v>140000.0</v>
      </c>
      <c r="M30" s="9">
        <v>140000.0</v>
      </c>
      <c r="N30" s="7" t="s">
        <v>77</v>
      </c>
      <c r="O30" s="7" t="s">
        <v>22</v>
      </c>
      <c r="P30" s="7" t="s">
        <v>47</v>
      </c>
      <c r="Q30" s="13"/>
    </row>
    <row r="31" ht="22.5" customHeight="1">
      <c r="A31" s="9">
        <v>19752.0</v>
      </c>
      <c r="B31" s="10">
        <v>46007.80902777778</v>
      </c>
      <c r="C31" s="11">
        <v>0.8298611111111112</v>
      </c>
      <c r="D31" s="12">
        <v>46007.0</v>
      </c>
      <c r="E31" s="11">
        <v>0.8298611111111112</v>
      </c>
      <c r="F31" s="7" t="s">
        <v>54</v>
      </c>
      <c r="G31" s="9">
        <v>998994067406</v>
      </c>
      <c r="H31" s="7" t="s">
        <v>75</v>
      </c>
      <c r="I31" s="7" t="s">
        <v>76</v>
      </c>
      <c r="J31" s="7" t="s">
        <v>53</v>
      </c>
      <c r="K31" s="9">
        <v>1.0</v>
      </c>
      <c r="L31" s="9">
        <v>145000.0</v>
      </c>
      <c r="M31" s="9">
        <v>145000.0</v>
      </c>
      <c r="N31" s="7" t="s">
        <v>77</v>
      </c>
      <c r="O31" s="7" t="s">
        <v>22</v>
      </c>
      <c r="P31" s="7" t="s">
        <v>47</v>
      </c>
      <c r="Q31" s="13"/>
    </row>
    <row r="32" ht="22.5" customHeight="1">
      <c r="A32" s="9">
        <v>77854.0</v>
      </c>
      <c r="B32" s="10">
        <v>46008.80972222222</v>
      </c>
      <c r="C32" s="11">
        <v>0.8479166666666667</v>
      </c>
      <c r="D32" s="12">
        <v>46008.0</v>
      </c>
      <c r="E32" s="11">
        <v>0.8479166666666667</v>
      </c>
      <c r="F32" s="7" t="s">
        <v>80</v>
      </c>
      <c r="G32" s="9">
        <v>9.77004344E8</v>
      </c>
      <c r="H32" s="7" t="s">
        <v>81</v>
      </c>
      <c r="I32" s="7" t="s">
        <v>82</v>
      </c>
      <c r="J32" s="7" t="s">
        <v>83</v>
      </c>
      <c r="K32" s="9">
        <v>1.0</v>
      </c>
      <c r="L32" s="9">
        <v>140000.0</v>
      </c>
      <c r="M32" s="9">
        <v>140000.0</v>
      </c>
      <c r="N32" s="7"/>
      <c r="O32" s="7" t="s">
        <v>22</v>
      </c>
      <c r="P32" s="7" t="s">
        <v>47</v>
      </c>
      <c r="Q32" s="13"/>
    </row>
    <row r="33" ht="22.5" customHeight="1">
      <c r="A33" s="9">
        <v>77854.0</v>
      </c>
      <c r="B33" s="10">
        <v>46008.80972222222</v>
      </c>
      <c r="C33" s="11">
        <v>0.8479166666666667</v>
      </c>
      <c r="D33" s="12">
        <v>46008.0</v>
      </c>
      <c r="E33" s="11">
        <v>0.8479166666666667</v>
      </c>
      <c r="F33" s="7" t="s">
        <v>80</v>
      </c>
      <c r="G33" s="9">
        <v>9.77004344E8</v>
      </c>
      <c r="H33" s="7" t="s">
        <v>81</v>
      </c>
      <c r="I33" s="7" t="s">
        <v>82</v>
      </c>
      <c r="J33" s="7" t="s">
        <v>79</v>
      </c>
      <c r="K33" s="9">
        <v>1.0</v>
      </c>
      <c r="L33" s="9">
        <v>140000.0</v>
      </c>
      <c r="M33" s="9">
        <v>140000.0</v>
      </c>
      <c r="N33" s="7"/>
      <c r="O33" s="7" t="s">
        <v>22</v>
      </c>
      <c r="P33" s="7" t="s">
        <v>47</v>
      </c>
      <c r="Q33" s="13"/>
    </row>
    <row r="34" ht="22.5" customHeight="1">
      <c r="A34" s="9">
        <v>93315.0</v>
      </c>
      <c r="B34" s="10">
        <v>46035.7</v>
      </c>
      <c r="C34" s="11">
        <v>0.7402777777777778</v>
      </c>
      <c r="D34" s="12">
        <v>46035.0</v>
      </c>
      <c r="E34" s="11">
        <v>0.7402777777777778</v>
      </c>
      <c r="F34" s="7" t="s">
        <v>84</v>
      </c>
      <c r="G34" s="9">
        <v>998909744141</v>
      </c>
      <c r="H34" s="7" t="s">
        <v>85</v>
      </c>
      <c r="I34" s="7" t="s">
        <v>86</v>
      </c>
      <c r="J34" s="7" t="s">
        <v>87</v>
      </c>
      <c r="K34" s="9">
        <v>1.0</v>
      </c>
      <c r="L34" s="9">
        <v>260000.0</v>
      </c>
      <c r="M34" s="9">
        <v>260000.0</v>
      </c>
      <c r="N34" s="7" t="s">
        <v>88</v>
      </c>
      <c r="O34" s="7" t="s">
        <v>22</v>
      </c>
      <c r="P34" s="7" t="s">
        <v>47</v>
      </c>
      <c r="Q34" s="13"/>
    </row>
    <row r="35" ht="22.5" customHeight="1">
      <c r="A35" s="9">
        <v>93315.0</v>
      </c>
      <c r="B35" s="10">
        <v>46035.7</v>
      </c>
      <c r="C35" s="11">
        <v>0.7402777777777778</v>
      </c>
      <c r="D35" s="12">
        <v>46035.0</v>
      </c>
      <c r="E35" s="11">
        <v>0.7402777777777778</v>
      </c>
      <c r="F35" s="7" t="s">
        <v>84</v>
      </c>
      <c r="G35" s="9">
        <v>998909744141</v>
      </c>
      <c r="H35" s="7" t="s">
        <v>85</v>
      </c>
      <c r="I35" s="7" t="s">
        <v>86</v>
      </c>
      <c r="J35" s="7" t="s">
        <v>89</v>
      </c>
      <c r="K35" s="9">
        <v>1.0</v>
      </c>
      <c r="L35" s="9">
        <v>285000.0</v>
      </c>
      <c r="M35" s="9">
        <v>285000.0</v>
      </c>
      <c r="N35" s="7" t="s">
        <v>88</v>
      </c>
      <c r="O35" s="7" t="s">
        <v>22</v>
      </c>
      <c r="P35" s="7" t="s">
        <v>47</v>
      </c>
      <c r="Q35" s="13"/>
    </row>
    <row r="36" ht="22.5" customHeight="1">
      <c r="A36" s="9">
        <v>93315.0</v>
      </c>
      <c r="B36" s="10">
        <v>46035.7</v>
      </c>
      <c r="C36" s="11">
        <v>0.7402777777777778</v>
      </c>
      <c r="D36" s="12">
        <v>46035.0</v>
      </c>
      <c r="E36" s="11">
        <v>0.7402777777777778</v>
      </c>
      <c r="F36" s="7" t="s">
        <v>84</v>
      </c>
      <c r="G36" s="9">
        <v>998909744141</v>
      </c>
      <c r="H36" s="7" t="s">
        <v>85</v>
      </c>
      <c r="I36" s="7" t="s">
        <v>86</v>
      </c>
      <c r="J36" s="7" t="s">
        <v>90</v>
      </c>
      <c r="K36" s="9">
        <v>1.0</v>
      </c>
      <c r="L36" s="9">
        <v>220000.0</v>
      </c>
      <c r="M36" s="9">
        <v>220000.0</v>
      </c>
      <c r="N36" s="7" t="s">
        <v>88</v>
      </c>
      <c r="O36" s="7" t="s">
        <v>22</v>
      </c>
      <c r="P36" s="7" t="s">
        <v>47</v>
      </c>
      <c r="Q36" s="13"/>
    </row>
    <row r="37" ht="22.5" customHeight="1">
      <c r="A37" s="9">
        <v>42052.0</v>
      </c>
      <c r="B37" s="10">
        <v>46038.91875</v>
      </c>
      <c r="C37" s="11">
        <v>0.9576388888888889</v>
      </c>
      <c r="D37" s="12">
        <v>46040.0</v>
      </c>
      <c r="E37" s="11">
        <v>0.9576388888888889</v>
      </c>
      <c r="F37" s="7" t="s">
        <v>91</v>
      </c>
      <c r="G37" s="9">
        <v>998900922261</v>
      </c>
      <c r="H37" s="7" t="s">
        <v>92</v>
      </c>
      <c r="I37" s="7" t="s">
        <v>93</v>
      </c>
      <c r="J37" s="7" t="s">
        <v>94</v>
      </c>
      <c r="K37" s="9">
        <v>2.5</v>
      </c>
      <c r="L37" s="9">
        <v>75000.0</v>
      </c>
      <c r="M37" s="9">
        <v>187500.0</v>
      </c>
      <c r="N37" s="7" t="s">
        <v>95</v>
      </c>
      <c r="O37" s="7" t="s">
        <v>22</v>
      </c>
      <c r="P37" s="7" t="s">
        <v>47</v>
      </c>
      <c r="Q37" s="13"/>
    </row>
    <row r="38" ht="22.5" customHeight="1">
      <c r="A38" s="9">
        <v>42052.0</v>
      </c>
      <c r="B38" s="10">
        <v>46038.91875</v>
      </c>
      <c r="C38" s="11">
        <v>0.9576388888888889</v>
      </c>
      <c r="D38" s="12">
        <v>46040.0</v>
      </c>
      <c r="E38" s="11">
        <v>0.9576388888888889</v>
      </c>
      <c r="F38" s="7" t="s">
        <v>91</v>
      </c>
      <c r="G38" s="9">
        <v>998900922261</v>
      </c>
      <c r="H38" s="7" t="s">
        <v>92</v>
      </c>
      <c r="I38" s="7" t="s">
        <v>93</v>
      </c>
      <c r="J38" s="7" t="s">
        <v>96</v>
      </c>
      <c r="K38" s="9">
        <v>1.0</v>
      </c>
      <c r="L38" s="9">
        <v>140000.0</v>
      </c>
      <c r="M38" s="9">
        <v>140000.0</v>
      </c>
      <c r="N38" s="7" t="s">
        <v>95</v>
      </c>
      <c r="O38" s="7" t="s">
        <v>22</v>
      </c>
      <c r="P38" s="7" t="s">
        <v>47</v>
      </c>
      <c r="Q38" s="13"/>
    </row>
    <row r="39" ht="22.5" customHeight="1">
      <c r="A39" s="9">
        <v>21988.0</v>
      </c>
      <c r="B39" s="10">
        <v>46038.92013888889</v>
      </c>
      <c r="C39" s="11">
        <v>0.9604166666666667</v>
      </c>
      <c r="D39" s="12">
        <v>46038.0</v>
      </c>
      <c r="E39" s="11">
        <v>0.9604166666666667</v>
      </c>
      <c r="F39" s="7" t="s">
        <v>97</v>
      </c>
      <c r="G39" s="9">
        <v>998900922261</v>
      </c>
      <c r="H39" s="7" t="s">
        <v>98</v>
      </c>
      <c r="I39" s="7" t="s">
        <v>99</v>
      </c>
      <c r="J39" s="7" t="s">
        <v>100</v>
      </c>
      <c r="K39" s="9">
        <v>1.0</v>
      </c>
      <c r="L39" s="9">
        <v>285000.0</v>
      </c>
      <c r="M39" s="9">
        <v>285000.0</v>
      </c>
      <c r="N39" s="7" t="s">
        <v>101</v>
      </c>
      <c r="O39" s="7" t="s">
        <v>31</v>
      </c>
      <c r="P39" s="7" t="s">
        <v>47</v>
      </c>
      <c r="Q39" s="13"/>
    </row>
    <row r="40" ht="22.5" customHeight="1">
      <c r="A40" s="9">
        <v>69372.0</v>
      </c>
      <c r="B40" s="10">
        <v>46040.82986111111</v>
      </c>
      <c r="C40" s="11">
        <v>0.8694444444444445</v>
      </c>
      <c r="D40" s="12">
        <v>46040.0</v>
      </c>
      <c r="E40" s="11">
        <v>0.8694444444444445</v>
      </c>
      <c r="F40" s="7" t="s">
        <v>102</v>
      </c>
      <c r="G40" s="9">
        <v>9.09459171E8</v>
      </c>
      <c r="H40" s="7" t="s">
        <v>103</v>
      </c>
      <c r="I40" s="7" t="s">
        <v>104</v>
      </c>
      <c r="J40" s="7" t="s">
        <v>105</v>
      </c>
      <c r="K40" s="9">
        <v>1.0</v>
      </c>
      <c r="L40" s="9">
        <v>290000.0</v>
      </c>
      <c r="M40" s="9">
        <v>290000.0</v>
      </c>
      <c r="N40" s="7" t="s">
        <v>106</v>
      </c>
      <c r="O40" s="7" t="s">
        <v>31</v>
      </c>
      <c r="P40" s="7" t="s">
        <v>47</v>
      </c>
      <c r="Q40" s="13"/>
    </row>
    <row r="41" ht="22.5" customHeight="1">
      <c r="A41" s="9">
        <v>69372.0</v>
      </c>
      <c r="B41" s="10">
        <v>46040.82986111111</v>
      </c>
      <c r="C41" s="11">
        <v>0.8694444444444445</v>
      </c>
      <c r="D41" s="12">
        <v>46040.0</v>
      </c>
      <c r="E41" s="11">
        <v>0.8694444444444445</v>
      </c>
      <c r="F41" s="7" t="s">
        <v>102</v>
      </c>
      <c r="G41" s="9">
        <v>9.09459171E8</v>
      </c>
      <c r="H41" s="7" t="s">
        <v>103</v>
      </c>
      <c r="I41" s="7" t="s">
        <v>104</v>
      </c>
      <c r="J41" s="7" t="s">
        <v>89</v>
      </c>
      <c r="K41" s="9">
        <v>1.0</v>
      </c>
      <c r="L41" s="9">
        <v>285000.0</v>
      </c>
      <c r="M41" s="9">
        <v>285000.0</v>
      </c>
      <c r="N41" s="7" t="s">
        <v>106</v>
      </c>
      <c r="O41" s="7" t="s">
        <v>31</v>
      </c>
      <c r="P41" s="7" t="s">
        <v>47</v>
      </c>
      <c r="Q41" s="13"/>
    </row>
    <row r="42" ht="22.5" customHeight="1">
      <c r="A42" s="9">
        <v>69372.0</v>
      </c>
      <c r="B42" s="10">
        <v>46040.82986111111</v>
      </c>
      <c r="C42" s="11">
        <v>0.8694444444444445</v>
      </c>
      <c r="D42" s="12">
        <v>46040.0</v>
      </c>
      <c r="E42" s="11">
        <v>0.8694444444444445</v>
      </c>
      <c r="F42" s="7" t="s">
        <v>102</v>
      </c>
      <c r="G42" s="9">
        <v>9.09459171E8</v>
      </c>
      <c r="H42" s="7" t="s">
        <v>103</v>
      </c>
      <c r="I42" s="7" t="s">
        <v>104</v>
      </c>
      <c r="J42" s="7" t="s">
        <v>107</v>
      </c>
      <c r="K42" s="9">
        <v>1.0</v>
      </c>
      <c r="L42" s="9">
        <v>295000.0</v>
      </c>
      <c r="M42" s="9">
        <v>295000.0</v>
      </c>
      <c r="N42" s="7" t="s">
        <v>106</v>
      </c>
      <c r="O42" s="7" t="s">
        <v>31</v>
      </c>
      <c r="P42" s="7" t="s">
        <v>47</v>
      </c>
      <c r="Q42" s="13"/>
    </row>
    <row r="43" ht="22.5" customHeight="1">
      <c r="A43" s="9">
        <v>19051.0</v>
      </c>
      <c r="B43" s="10">
        <v>46040.947916666664</v>
      </c>
      <c r="C43" s="11">
        <v>0.9826388888888888</v>
      </c>
      <c r="D43" s="12">
        <v>46040.0</v>
      </c>
      <c r="E43" s="11">
        <v>0.9826388888888888</v>
      </c>
      <c r="F43" s="7" t="s">
        <v>108</v>
      </c>
      <c r="G43" s="9">
        <v>9.09410078E8</v>
      </c>
      <c r="H43" s="7" t="s">
        <v>109</v>
      </c>
      <c r="I43" s="7" t="s">
        <v>110</v>
      </c>
      <c r="J43" s="7" t="s">
        <v>61</v>
      </c>
      <c r="K43" s="9">
        <v>1.0</v>
      </c>
      <c r="L43" s="9">
        <v>140000.0</v>
      </c>
      <c r="M43" s="9">
        <v>140000.0</v>
      </c>
      <c r="N43" s="7"/>
      <c r="O43" s="7" t="s">
        <v>22</v>
      </c>
      <c r="P43" s="7" t="s">
        <v>47</v>
      </c>
      <c r="Q43" s="13"/>
    </row>
    <row r="44" ht="22.5" customHeight="1">
      <c r="A44" s="9">
        <v>19051.0</v>
      </c>
      <c r="B44" s="10">
        <v>46040.947916666664</v>
      </c>
      <c r="C44" s="11">
        <v>0.9826388888888888</v>
      </c>
      <c r="D44" s="12">
        <v>46040.0</v>
      </c>
      <c r="E44" s="11">
        <v>0.9826388888888888</v>
      </c>
      <c r="F44" s="7" t="s">
        <v>108</v>
      </c>
      <c r="G44" s="9">
        <v>9.09410078E8</v>
      </c>
      <c r="H44" s="7" t="s">
        <v>109</v>
      </c>
      <c r="I44" s="7" t="s">
        <v>110</v>
      </c>
      <c r="J44" s="7" t="s">
        <v>111</v>
      </c>
      <c r="K44" s="9">
        <v>2.0</v>
      </c>
      <c r="L44" s="9">
        <v>20000.0</v>
      </c>
      <c r="M44" s="9">
        <v>40000.0</v>
      </c>
      <c r="N44" s="7"/>
      <c r="O44" s="7" t="s">
        <v>22</v>
      </c>
      <c r="P44" s="7" t="s">
        <v>47</v>
      </c>
      <c r="Q44" s="13"/>
    </row>
    <row r="45" ht="22.5" customHeight="1">
      <c r="A45" s="9">
        <v>19051.0</v>
      </c>
      <c r="B45" s="10">
        <v>46040.947916666664</v>
      </c>
      <c r="C45" s="11">
        <v>0.9826388888888888</v>
      </c>
      <c r="D45" s="12">
        <v>46040.0</v>
      </c>
      <c r="E45" s="11">
        <v>0.9826388888888888</v>
      </c>
      <c r="F45" s="7" t="s">
        <v>108</v>
      </c>
      <c r="G45" s="9">
        <v>9.09410078E8</v>
      </c>
      <c r="H45" s="7" t="s">
        <v>109</v>
      </c>
      <c r="I45" s="7" t="s">
        <v>110</v>
      </c>
      <c r="J45" s="7" t="s">
        <v>112</v>
      </c>
      <c r="K45" s="9">
        <v>1.0</v>
      </c>
      <c r="L45" s="9">
        <v>330000.0</v>
      </c>
      <c r="M45" s="9">
        <v>330000.0</v>
      </c>
      <c r="N45" s="7"/>
      <c r="O45" s="7" t="s">
        <v>22</v>
      </c>
      <c r="P45" s="7" t="s">
        <v>47</v>
      </c>
      <c r="Q45" s="13"/>
    </row>
    <row r="46" ht="22.5" customHeight="1">
      <c r="A46" s="9">
        <v>19051.0</v>
      </c>
      <c r="B46" s="10">
        <v>46040.947916666664</v>
      </c>
      <c r="C46" s="11">
        <v>0.9826388888888888</v>
      </c>
      <c r="D46" s="12">
        <v>46040.0</v>
      </c>
      <c r="E46" s="11">
        <v>0.9826388888888888</v>
      </c>
      <c r="F46" s="7" t="s">
        <v>108</v>
      </c>
      <c r="G46" s="9">
        <v>9.09410078E8</v>
      </c>
      <c r="H46" s="7" t="s">
        <v>109</v>
      </c>
      <c r="I46" s="7" t="s">
        <v>110</v>
      </c>
      <c r="J46" s="7" t="s">
        <v>113</v>
      </c>
      <c r="K46" s="9">
        <v>1.0</v>
      </c>
      <c r="L46" s="9">
        <v>320000.0</v>
      </c>
      <c r="M46" s="9">
        <v>320000.0</v>
      </c>
      <c r="N46" s="7"/>
      <c r="O46" s="7" t="s">
        <v>22</v>
      </c>
      <c r="P46" s="7" t="s">
        <v>47</v>
      </c>
      <c r="Q46" s="13"/>
    </row>
    <row r="47" ht="22.5" customHeight="1">
      <c r="A47" s="9">
        <v>19051.0</v>
      </c>
      <c r="B47" s="10">
        <v>46040.947916666664</v>
      </c>
      <c r="C47" s="11">
        <v>0.9826388888888888</v>
      </c>
      <c r="D47" s="12">
        <v>46040.0</v>
      </c>
      <c r="E47" s="11">
        <v>0.9826388888888888</v>
      </c>
      <c r="F47" s="7" t="s">
        <v>108</v>
      </c>
      <c r="G47" s="9">
        <v>9.09410078E8</v>
      </c>
      <c r="H47" s="7" t="s">
        <v>109</v>
      </c>
      <c r="I47" s="7" t="s">
        <v>110</v>
      </c>
      <c r="J47" s="7" t="s">
        <v>114</v>
      </c>
      <c r="K47" s="9">
        <v>1.0</v>
      </c>
      <c r="L47" s="9">
        <v>300000.0</v>
      </c>
      <c r="M47" s="9">
        <v>300000.0</v>
      </c>
      <c r="N47" s="7"/>
      <c r="O47" s="7" t="s">
        <v>22</v>
      </c>
      <c r="P47" s="7" t="s">
        <v>47</v>
      </c>
      <c r="Q47" s="13"/>
    </row>
    <row r="48" ht="22.5" customHeight="1">
      <c r="A48" s="9">
        <v>78085.0</v>
      </c>
      <c r="B48" s="10">
        <v>46044.71597222222</v>
      </c>
      <c r="C48" s="11">
        <v>0.7506944444444444</v>
      </c>
      <c r="D48" s="12">
        <v>46044.0</v>
      </c>
      <c r="E48" s="11">
        <v>0.7506944444444444</v>
      </c>
      <c r="F48" s="7" t="s">
        <v>115</v>
      </c>
      <c r="G48" s="9">
        <v>9.01301177E8</v>
      </c>
      <c r="H48" s="7" t="s">
        <v>116</v>
      </c>
      <c r="I48" s="7" t="s">
        <v>117</v>
      </c>
      <c r="J48" s="7" t="s">
        <v>118</v>
      </c>
      <c r="K48" s="9">
        <v>1.0</v>
      </c>
      <c r="L48" s="9">
        <v>250000.0</v>
      </c>
      <c r="M48" s="9">
        <v>250000.0</v>
      </c>
      <c r="N48" s="7"/>
      <c r="O48" s="7" t="s">
        <v>31</v>
      </c>
      <c r="P48" s="7" t="s">
        <v>47</v>
      </c>
      <c r="Q48" s="13"/>
    </row>
    <row r="49" ht="22.5" customHeight="1">
      <c r="A49" s="9">
        <v>78085.0</v>
      </c>
      <c r="B49" s="10">
        <v>46044.71597222222</v>
      </c>
      <c r="C49" s="11">
        <v>0.7506944444444444</v>
      </c>
      <c r="D49" s="12">
        <v>46044.0</v>
      </c>
      <c r="E49" s="11">
        <v>0.7506944444444444</v>
      </c>
      <c r="F49" s="7" t="s">
        <v>115</v>
      </c>
      <c r="G49" s="9">
        <v>9.01301177E8</v>
      </c>
      <c r="H49" s="7" t="s">
        <v>116</v>
      </c>
      <c r="I49" s="7" t="s">
        <v>117</v>
      </c>
      <c r="J49" s="7" t="s">
        <v>119</v>
      </c>
      <c r="K49" s="9">
        <v>1.0</v>
      </c>
      <c r="L49" s="9">
        <v>115000.0</v>
      </c>
      <c r="M49" s="9">
        <v>115000.0</v>
      </c>
      <c r="N49" s="7"/>
      <c r="O49" s="7" t="s">
        <v>31</v>
      </c>
      <c r="P49" s="7" t="s">
        <v>47</v>
      </c>
      <c r="Q49" s="13"/>
    </row>
    <row r="50" ht="22.5" customHeight="1">
      <c r="A50" s="9">
        <v>78085.0</v>
      </c>
      <c r="B50" s="10">
        <v>46044.71597222222</v>
      </c>
      <c r="C50" s="11">
        <v>0.7506944444444444</v>
      </c>
      <c r="D50" s="12">
        <v>46044.0</v>
      </c>
      <c r="E50" s="11">
        <v>0.7506944444444444</v>
      </c>
      <c r="F50" s="7" t="s">
        <v>115</v>
      </c>
      <c r="G50" s="9">
        <v>9.01301177E8</v>
      </c>
      <c r="H50" s="7" t="s">
        <v>116</v>
      </c>
      <c r="I50" s="7" t="s">
        <v>117</v>
      </c>
      <c r="J50" s="7" t="s">
        <v>120</v>
      </c>
      <c r="K50" s="9">
        <v>1.0</v>
      </c>
      <c r="L50" s="9">
        <v>290000.0</v>
      </c>
      <c r="M50" s="9">
        <v>290000.0</v>
      </c>
      <c r="N50" s="7"/>
      <c r="O50" s="7" t="s">
        <v>31</v>
      </c>
      <c r="P50" s="7" t="s">
        <v>47</v>
      </c>
      <c r="Q50" s="13"/>
    </row>
    <row r="51" ht="22.5" customHeight="1">
      <c r="A51" s="9">
        <v>83984.0</v>
      </c>
      <c r="B51" s="10">
        <v>46045.85555555556</v>
      </c>
      <c r="C51" s="11">
        <v>0.8944444444444445</v>
      </c>
      <c r="D51" s="12">
        <v>46045.0</v>
      </c>
      <c r="E51" s="11">
        <v>0.8944444444444445</v>
      </c>
      <c r="F51" s="7" t="s">
        <v>121</v>
      </c>
      <c r="G51" s="9">
        <v>998930085227</v>
      </c>
      <c r="H51" s="7" t="s">
        <v>122</v>
      </c>
      <c r="I51" s="7" t="s">
        <v>123</v>
      </c>
      <c r="J51" s="7" t="s">
        <v>87</v>
      </c>
      <c r="K51" s="9">
        <v>0.5</v>
      </c>
      <c r="L51" s="9">
        <v>260000.0</v>
      </c>
      <c r="M51" s="9">
        <v>130000.0</v>
      </c>
      <c r="N51" s="7"/>
      <c r="O51" s="7" t="s">
        <v>22</v>
      </c>
      <c r="P51" s="7" t="s">
        <v>47</v>
      </c>
      <c r="Q51" s="13"/>
    </row>
    <row r="52" ht="22.5" customHeight="1">
      <c r="A52" s="9">
        <v>83984.0</v>
      </c>
      <c r="B52" s="10">
        <v>46045.85555555556</v>
      </c>
      <c r="C52" s="11">
        <v>0.8944444444444445</v>
      </c>
      <c r="D52" s="12">
        <v>46045.0</v>
      </c>
      <c r="E52" s="11">
        <v>0.8944444444444445</v>
      </c>
      <c r="F52" s="7" t="s">
        <v>121</v>
      </c>
      <c r="G52" s="9">
        <v>998930085227</v>
      </c>
      <c r="H52" s="7" t="s">
        <v>122</v>
      </c>
      <c r="I52" s="7" t="s">
        <v>123</v>
      </c>
      <c r="J52" s="7" t="s">
        <v>124</v>
      </c>
      <c r="K52" s="9">
        <v>0.3</v>
      </c>
      <c r="L52" s="9">
        <v>195000.0</v>
      </c>
      <c r="M52" s="9">
        <v>58500.0</v>
      </c>
      <c r="N52" s="7"/>
      <c r="O52" s="7" t="s">
        <v>22</v>
      </c>
      <c r="P52" s="7" t="s">
        <v>47</v>
      </c>
      <c r="Q52" s="13"/>
    </row>
    <row r="53" ht="22.5" customHeight="1">
      <c r="A53" s="9">
        <v>83984.0</v>
      </c>
      <c r="B53" s="10">
        <v>46045.85555555556</v>
      </c>
      <c r="C53" s="11">
        <v>0.8944444444444445</v>
      </c>
      <c r="D53" s="12">
        <v>46045.0</v>
      </c>
      <c r="E53" s="11">
        <v>0.8944444444444445</v>
      </c>
      <c r="F53" s="7" t="s">
        <v>121</v>
      </c>
      <c r="G53" s="9">
        <v>998930085227</v>
      </c>
      <c r="H53" s="7" t="s">
        <v>122</v>
      </c>
      <c r="I53" s="7" t="s">
        <v>123</v>
      </c>
      <c r="J53" s="7" t="s">
        <v>125</v>
      </c>
      <c r="K53" s="9">
        <v>1.0</v>
      </c>
      <c r="L53" s="9">
        <v>75000.0</v>
      </c>
      <c r="M53" s="9">
        <v>75000.0</v>
      </c>
      <c r="N53" s="7"/>
      <c r="O53" s="7" t="s">
        <v>22</v>
      </c>
      <c r="P53" s="7" t="s">
        <v>47</v>
      </c>
      <c r="Q53" s="13"/>
    </row>
  </sheetData>
  <dataValidations>
    <dataValidation type="custom" allowBlank="1" showDropDown="1" sqref="C2:C53 E2:E53">
      <formula1>OR(TIMEVALUE(TEXT(C2, "hh:mm:ss"))=C2, AND(ISNUMBER(C2), LEFT(CELL("format", C2))="D"))</formula1>
    </dataValidation>
    <dataValidation type="custom" allowBlank="1" showDropDown="1" sqref="D2:D53">
      <formula1>OR(NOT(ISERROR(DATEVALUE(D2))), AND(ISNUMBER(D2), LEFT(CELL("format", D2))="D"))</formula1>
    </dataValidation>
    <dataValidation type="custom" allowBlank="1" showDropDown="1" sqref="B2:B53">
      <formula1>OR(NOT(ISERROR(DATEVALUE(B2))), AND(ISNUMBER(B2), LEFT(CELL("format", B2))="D"))</formula1>
    </dataValidation>
    <dataValidation type="custom" allowBlank="1" showDropDown="1" sqref="A2:A53 G2:G53 K2:M53">
      <formula1>AND(ISNUMBER(A2),(NOT(OR(NOT(ISERROR(DATEVALUE(A2))), AND(ISNUMBER(A2), LEFT(CELL("format", A2))="D")))))</formula1>
    </dataValidation>
    <dataValidation type="list" allowBlank="1" showDropDown="1" showErrorMessage="1" sqref="Q2:Q53">
      <formula1>"Да,Нет"</formula1>
    </dataValidation>
    <dataValidation allowBlank="1" showDropDown="1" sqref="F2:F53 I2:I53 N2:P53"/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</cols>
  <sheetData>
    <row r="1">
      <c r="A1" s="14" t="str">
        <f>IFERROR(__xludf.DUMMYFUNCTION("IMPORTRANGE(""https://docs.google.com/spreadsheets/d/1ybDSdjhfrJlHfkBBq-0M_0AiOlTr4-7KhIx2iBD7UBc/edit?gid=1235476083#gid=1235476083"",""Товары!A1:H"")"),"№")</f>
        <v>№</v>
      </c>
      <c r="B1" s="15" t="str">
        <f>IFERROR(__xludf.DUMMYFUNCTION("""COMPUTED_VALUE"""),"Фото товара")</f>
        <v>Фото товара</v>
      </c>
      <c r="C1" s="16" t="str">
        <f>IFERROR(__xludf.DUMMYFUNCTION("""COMPUTED_VALUE"""),"Категория")</f>
        <v>Категория</v>
      </c>
      <c r="D1" s="16" t="str">
        <f>IFERROR(__xludf.DUMMYFUNCTION("""COMPUTED_VALUE"""),"Наименование RU")</f>
        <v>Наименование RU</v>
      </c>
      <c r="E1" s="17" t="str">
        <f>IFERROR(__xludf.DUMMYFUNCTION("""COMPUTED_VALUE"""),"Название UZ")</f>
        <v>Название UZ</v>
      </c>
      <c r="F1" s="15" t="str">
        <f>IFERROR(__xludf.DUMMYFUNCTION("""COMPUTED_VALUE"""),"Ед.изм")</f>
        <v>Ед.изм</v>
      </c>
      <c r="G1" s="18" t="str">
        <f>IFERROR(__xludf.DUMMYFUNCTION("""COMPUTED_VALUE"""),"Штрих код товара")</f>
        <v>Штрих код товара</v>
      </c>
      <c r="H1" s="16" t="str">
        <f>IFERROR(__xludf.DUMMYFUNCTION("""COMPUTED_VALUE"""),"Цена")</f>
        <v>Цена</v>
      </c>
    </row>
    <row r="2">
      <c r="A2" s="14">
        <f>IFERROR(__xludf.DUMMYFUNCTION("""COMPUTED_VALUE"""),1.0)</f>
        <v>1</v>
      </c>
      <c r="B2" s="19" t="str">
        <f>IFERROR(__xludf.DUMMYFUNCTION("""COMPUTED_VALUE"""),"https://imagizer.imageshack.com/img923/5420/jK1bQE.jpg")</f>
        <v>https://imagizer.imageshack.com/img923/5420/jK1bQE.jpg</v>
      </c>
      <c r="C2" s="16" t="str">
        <f>IFERROR(__xludf.DUMMYFUNCTION("""COMPUTED_VALUE"""),"Мясные изделия")</f>
        <v>Мясные изделия</v>
      </c>
      <c r="D2" s="16" t="str">
        <f>IFERROR(__xludf.DUMMYFUNCTION("""COMPUTED_VALUE"""),"Казы в кишке")</f>
        <v>Казы в кишке</v>
      </c>
      <c r="E2" s="16" t="str">
        <f>IFERROR(__xludf.DUMMYFUNCTION("""COMPUTED_VALUE"""),"Qazi ichakda")</f>
        <v>Qazi ichakda</v>
      </c>
      <c r="F2" s="15" t="str">
        <f>IFERROR(__xludf.DUMMYFUNCTION("""COMPUTED_VALUE"""),"кг")</f>
        <v>кг</v>
      </c>
      <c r="G2" s="16"/>
      <c r="H2" s="16">
        <f>IFERROR(__xludf.DUMMYFUNCTION("""COMPUTED_VALUE"""),285000.0)</f>
        <v>285000</v>
      </c>
    </row>
    <row r="3">
      <c r="A3" s="14">
        <f>IFERROR(__xludf.DUMMYFUNCTION("""COMPUTED_VALUE"""),2.0)</f>
        <v>2</v>
      </c>
      <c r="B3" s="19" t="str">
        <f>IFERROR(__xludf.DUMMYFUNCTION("""COMPUTED_VALUE"""),"https://imagizer.imageshack.com/img922/1205/0BdDLb.png")</f>
        <v>https://imagizer.imageshack.com/img922/1205/0BdDLb.png</v>
      </c>
      <c r="C3" s="16" t="str">
        <f>IFERROR(__xludf.DUMMYFUNCTION("""COMPUTED_VALUE"""),"Мясные изделия")</f>
        <v>Мясные изделия</v>
      </c>
      <c r="D3" s="16" t="str">
        <f>IFERROR(__xludf.DUMMYFUNCTION("""COMPUTED_VALUE"""),"Казы в оболочке")</f>
        <v>Казы в оболочке</v>
      </c>
      <c r="E3" s="16" t="str">
        <f>IFERROR(__xludf.DUMMYFUNCTION("""COMPUTED_VALUE"""),"Qazi qobiqda")</f>
        <v>Qazi qobiqda</v>
      </c>
      <c r="F3" s="15" t="str">
        <f>IFERROR(__xludf.DUMMYFUNCTION("""COMPUTED_VALUE"""),"кг")</f>
        <v>кг</v>
      </c>
      <c r="G3" s="16"/>
      <c r="H3" s="16">
        <f>IFERROR(__xludf.DUMMYFUNCTION("""COMPUTED_VALUE"""),250000.0)</f>
        <v>250000</v>
      </c>
    </row>
    <row r="4">
      <c r="A4" s="14">
        <f>IFERROR(__xludf.DUMMYFUNCTION("""COMPUTED_VALUE"""),3.0)</f>
        <v>3</v>
      </c>
      <c r="B4" s="19" t="str">
        <f>IFERROR(__xludf.DUMMYFUNCTION("""COMPUTED_VALUE"""),"https://imagizer.imageshack.com/img922/5443/NH97mN.png")</f>
        <v>https://imagizer.imageshack.com/img922/5443/NH97mN.png</v>
      </c>
      <c r="C4" s="16" t="str">
        <f>IFERROR(__xludf.DUMMYFUNCTION("""COMPUTED_VALUE"""),"Мясные изделия")</f>
        <v>Мясные изделия</v>
      </c>
      <c r="D4" s="16" t="str">
        <f>IFERROR(__xludf.DUMMYFUNCTION("""COMPUTED_VALUE"""),"Казы мраморное")</f>
        <v>Казы мраморное</v>
      </c>
      <c r="E4" s="16" t="str">
        <f>IFERROR(__xludf.DUMMYFUNCTION("""COMPUTED_VALUE"""),"Qazi mramor")</f>
        <v>Qazi mramor</v>
      </c>
      <c r="F4" s="15" t="str">
        <f>IFERROR(__xludf.DUMMYFUNCTION("""COMPUTED_VALUE"""),"кг")</f>
        <v>кг</v>
      </c>
      <c r="G4" s="16"/>
      <c r="H4" s="16">
        <f>IFERROR(__xludf.DUMMYFUNCTION("""COMPUTED_VALUE"""),300000.0)</f>
        <v>300000</v>
      </c>
    </row>
    <row r="5">
      <c r="A5" s="14">
        <f>IFERROR(__xludf.DUMMYFUNCTION("""COMPUTED_VALUE"""),4.0)</f>
        <v>4</v>
      </c>
      <c r="B5" s="19" t="str">
        <f>IFERROR(__xludf.DUMMYFUNCTION("""COMPUTED_VALUE"""),"https://imagizer.imageshack.com/img923/289/ASTgOa.jpg")</f>
        <v>https://imagizer.imageshack.com/img923/289/ASTgOa.jpg</v>
      </c>
      <c r="C5" s="16" t="str">
        <f>IFERROR(__xludf.DUMMYFUNCTION("""COMPUTED_VALUE"""),"Мясные изделия")</f>
        <v>Мясные изделия</v>
      </c>
      <c r="D5" s="16" t="str">
        <f>IFERROR(__xludf.DUMMYFUNCTION("""COMPUTED_VALUE"""),"Казы вяленное варенный")</f>
        <v>Казы вяленное варенный</v>
      </c>
      <c r="E5" s="16" t="str">
        <f>IFERROR(__xludf.DUMMYFUNCTION("""COMPUTED_VALUE"""),"Qazi sur pishgan")</f>
        <v>Qazi sur pishgan</v>
      </c>
      <c r="F5" s="15" t="str">
        <f>IFERROR(__xludf.DUMMYFUNCTION("""COMPUTED_VALUE"""),"кг")</f>
        <v>кг</v>
      </c>
      <c r="G5" s="16"/>
      <c r="H5" s="16">
        <f>IFERROR(__xludf.DUMMYFUNCTION("""COMPUTED_VALUE"""),320000.0)</f>
        <v>320000</v>
      </c>
    </row>
    <row r="6">
      <c r="A6" s="14">
        <f>IFERROR(__xludf.DUMMYFUNCTION("""COMPUTED_VALUE"""),5.0)</f>
        <v>5</v>
      </c>
      <c r="B6" s="19" t="str">
        <f>IFERROR(__xludf.DUMMYFUNCTION("""COMPUTED_VALUE"""),"https://imagizer.imageshack.com/img924/7690/WfNFct.png")</f>
        <v>https://imagizer.imageshack.com/img924/7690/WfNFct.png</v>
      </c>
      <c r="C6" s="16" t="str">
        <f>IFERROR(__xludf.DUMMYFUNCTION("""COMPUTED_VALUE"""),"Мясные изделия")</f>
        <v>Мясные изделия</v>
      </c>
      <c r="D6" s="16" t="str">
        <f>IFERROR(__xludf.DUMMYFUNCTION("""COMPUTED_VALUE"""),"Конина рулет из шеи/качалки")</f>
        <v>Конина рулет из шеи/качалки</v>
      </c>
      <c r="E6" s="16" t="str">
        <f>IFERROR(__xludf.DUMMYFUNCTION("""COMPUTED_VALUE"""),"Ot bo'yin/kachalka")</f>
        <v>Ot bo'yin/kachalka</v>
      </c>
      <c r="F6" s="15" t="str">
        <f>IFERROR(__xludf.DUMMYFUNCTION("""COMPUTED_VALUE"""),"кг")</f>
        <v>кг</v>
      </c>
      <c r="G6" s="16"/>
      <c r="H6" s="16">
        <f>IFERROR(__xludf.DUMMYFUNCTION("""COMPUTED_VALUE"""),215000.0)</f>
        <v>215000</v>
      </c>
    </row>
    <row r="7">
      <c r="A7" s="14">
        <f>IFERROR(__xludf.DUMMYFUNCTION("""COMPUTED_VALUE"""),6.0)</f>
        <v>6</v>
      </c>
      <c r="B7" s="19" t="str">
        <f>IFERROR(__xludf.DUMMYFUNCTION("""COMPUTED_VALUE"""),"https://imagizer.imageshack.com/img924/6458/aKJ542.jpg")</f>
        <v>https://imagizer.imageshack.com/img924/6458/aKJ542.jpg</v>
      </c>
      <c r="C7" s="16" t="str">
        <f>IFERROR(__xludf.DUMMYFUNCTION("""COMPUTED_VALUE"""),"Мясные изделия")</f>
        <v>Мясные изделия</v>
      </c>
      <c r="D7" s="16" t="str">
        <f>IFERROR(__xludf.DUMMYFUNCTION("""COMPUTED_VALUE"""),"Конина тараш рулет")</f>
        <v>Конина тараш рулет</v>
      </c>
      <c r="E7" s="16" t="str">
        <f>IFERROR(__xludf.DUMMYFUNCTION("""COMPUTED_VALUE"""),"Toy tarash")</f>
        <v>Toy tarash</v>
      </c>
      <c r="F7" s="15" t="str">
        <f>IFERROR(__xludf.DUMMYFUNCTION("""COMPUTED_VALUE"""),"кг")</f>
        <v>кг</v>
      </c>
      <c r="G7" s="16"/>
      <c r="H7" s="16">
        <f>IFERROR(__xludf.DUMMYFUNCTION("""COMPUTED_VALUE"""),295000.0)</f>
        <v>295000</v>
      </c>
    </row>
    <row r="8">
      <c r="A8" s="14">
        <f>IFERROR(__xludf.DUMMYFUNCTION("""COMPUTED_VALUE"""),7.0)</f>
        <v>7</v>
      </c>
      <c r="B8" s="19" t="str">
        <f>IFERROR(__xludf.DUMMYFUNCTION("""COMPUTED_VALUE"""),"https://imagizer.imageshack.com/img922/6167/hgVNIk.png")</f>
        <v>https://imagizer.imageshack.com/img922/6167/hgVNIk.png</v>
      </c>
      <c r="C8" s="16" t="str">
        <f>IFERROR(__xludf.DUMMYFUNCTION("""COMPUTED_VALUE"""),"Мясные изделия")</f>
        <v>Мясные изделия</v>
      </c>
      <c r="D8" s="16" t="str">
        <f>IFERROR(__xludf.DUMMYFUNCTION("""COMPUTED_VALUE"""),"Карта с жиром")</f>
        <v>Карта с жиром</v>
      </c>
      <c r="E8" s="16" t="str">
        <f>IFERROR(__xludf.DUMMYFUNCTION("""COMPUTED_VALUE"""),"Qarta yogli")</f>
        <v>Qarta yogli</v>
      </c>
      <c r="F8" s="15" t="str">
        <f>IFERROR(__xludf.DUMMYFUNCTION("""COMPUTED_VALUE"""),"кг")</f>
        <v>кг</v>
      </c>
      <c r="G8" s="16"/>
      <c r="H8" s="16">
        <f>IFERROR(__xludf.DUMMYFUNCTION("""COMPUTED_VALUE"""),100000.0)</f>
        <v>100000</v>
      </c>
    </row>
    <row r="9">
      <c r="A9" s="14">
        <f>IFERROR(__xludf.DUMMYFUNCTION("""COMPUTED_VALUE"""),8.0)</f>
        <v>8</v>
      </c>
      <c r="B9" s="19" t="str">
        <f>IFERROR(__xludf.DUMMYFUNCTION("""COMPUTED_VALUE"""),"https://imagizer.imageshack.com/img923/5940/nxhbLH.png")</f>
        <v>https://imagizer.imageshack.com/img923/5940/nxhbLH.png</v>
      </c>
      <c r="C9" s="16" t="str">
        <f>IFERROR(__xludf.DUMMYFUNCTION("""COMPUTED_VALUE"""),"Мясные изделия")</f>
        <v>Мясные изделия</v>
      </c>
      <c r="D9" s="16" t="str">
        <f>IFERROR(__xludf.DUMMYFUNCTION("""COMPUTED_VALUE"""),"Конина + баранина рулет")</f>
        <v>Конина + баранина рулет</v>
      </c>
      <c r="E9" s="16" t="str">
        <f>IFERROR(__xludf.DUMMYFUNCTION("""COMPUTED_VALUE"""),"Ot + qo'y rulet")</f>
        <v>Ot + qo'y rulet</v>
      </c>
      <c r="F9" s="15" t="str">
        <f>IFERROR(__xludf.DUMMYFUNCTION("""COMPUTED_VALUE"""),"кг")</f>
        <v>кг</v>
      </c>
      <c r="G9" s="16"/>
      <c r="H9" s="16">
        <f>IFERROR(__xludf.DUMMYFUNCTION("""COMPUTED_VALUE"""),210000.0)</f>
        <v>210000</v>
      </c>
    </row>
    <row r="10">
      <c r="A10" s="14">
        <f>IFERROR(__xludf.DUMMYFUNCTION("""COMPUTED_VALUE"""),9.0)</f>
        <v>9</v>
      </c>
      <c r="B10" s="19" t="str">
        <f>IFERROR(__xludf.DUMMYFUNCTION("""COMPUTED_VALUE"""),"https://imagizer.imageshack.com/img923/3069/dGdbM6.jpg")</f>
        <v>https://imagizer.imageshack.com/img923/3069/dGdbM6.jpg</v>
      </c>
      <c r="C10" s="16" t="str">
        <f>IFERROR(__xludf.DUMMYFUNCTION("""COMPUTED_VALUE"""),"Мясные изделия")</f>
        <v>Мясные изделия</v>
      </c>
      <c r="D10" s="16" t="str">
        <f>IFERROR(__xludf.DUMMYFUNCTION("""COMPUTED_VALUE"""),"Карта с мясом")</f>
        <v>Карта с мясом</v>
      </c>
      <c r="E10" s="16" t="str">
        <f>IFERROR(__xludf.DUMMYFUNCTION("""COMPUTED_VALUE"""),"Qarta go'shtli ")</f>
        <v>Qarta go'shtli </v>
      </c>
      <c r="F10" s="15" t="str">
        <f>IFERROR(__xludf.DUMMYFUNCTION("""COMPUTED_VALUE"""),"кг")</f>
        <v>кг</v>
      </c>
      <c r="G10" s="16"/>
      <c r="H10" s="16">
        <f>IFERROR(__xludf.DUMMYFUNCTION("""COMPUTED_VALUE"""),155000.0)</f>
        <v>155000</v>
      </c>
    </row>
    <row r="11">
      <c r="A11" s="14">
        <f>IFERROR(__xludf.DUMMYFUNCTION("""COMPUTED_VALUE"""),10.0)</f>
        <v>10</v>
      </c>
      <c r="B11" s="19" t="str">
        <f>IFERROR(__xludf.DUMMYFUNCTION("""COMPUTED_VALUE"""),"https://imagizer.imageshack.com/img923/4192/CrchBF.png")</f>
        <v>https://imagizer.imageshack.com/img923/4192/CrchBF.png</v>
      </c>
      <c r="C11" s="16" t="str">
        <f>IFERROR(__xludf.DUMMYFUNCTION("""COMPUTED_VALUE"""),"Мясные изделия")</f>
        <v>Мясные изделия</v>
      </c>
      <c r="D11" s="16" t="str">
        <f>IFERROR(__xludf.DUMMYFUNCTION("""COMPUTED_VALUE"""),"Рулет из конины жилки")</f>
        <v>Рулет из конины жилки</v>
      </c>
      <c r="E11" s="16" t="str">
        <f>IFERROR(__xludf.DUMMYFUNCTION("""COMPUTED_VALUE"""),"Ot pay rulet ")</f>
        <v>Ot pay rulet </v>
      </c>
      <c r="F11" s="15" t="str">
        <f>IFERROR(__xludf.DUMMYFUNCTION("""COMPUTED_VALUE"""),"кг")</f>
        <v>кг</v>
      </c>
      <c r="G11" s="16"/>
      <c r="H11" s="16">
        <f>IFERROR(__xludf.DUMMYFUNCTION("""COMPUTED_VALUE"""),100000.0)</f>
        <v>100000</v>
      </c>
    </row>
    <row r="12">
      <c r="A12" s="14">
        <f>IFERROR(__xludf.DUMMYFUNCTION("""COMPUTED_VALUE"""),11.0)</f>
        <v>11</v>
      </c>
      <c r="B12" s="19" t="str">
        <f>IFERROR(__xludf.DUMMYFUNCTION("""COMPUTED_VALUE"""),"https://imagizer.imageshack.com/img923/6990/qRAtKj.png")</f>
        <v>https://imagizer.imageshack.com/img923/6990/qRAtKj.png</v>
      </c>
      <c r="C12" s="16" t="str">
        <f>IFERROR(__xludf.DUMMYFUNCTION("""COMPUTED_VALUE"""),"Мясные изделия")</f>
        <v>Мясные изделия</v>
      </c>
      <c r="D12" s="16" t="str">
        <f>IFERROR(__xludf.DUMMYFUNCTION("""COMPUTED_VALUE"""),"Холодец из конины")</f>
        <v>Холодец из конины</v>
      </c>
      <c r="E12" s="16" t="str">
        <f>IFERROR(__xludf.DUMMYFUNCTION("""COMPUTED_VALUE"""),"Holodes ot go'sht")</f>
        <v>Holodes ot go'sht</v>
      </c>
      <c r="F12" s="15" t="str">
        <f>IFERROR(__xludf.DUMMYFUNCTION("""COMPUTED_VALUE"""),"кг")</f>
        <v>кг</v>
      </c>
      <c r="G12" s="16"/>
      <c r="H12" s="16">
        <f>IFERROR(__xludf.DUMMYFUNCTION("""COMPUTED_VALUE"""),20000.0)</f>
        <v>20000</v>
      </c>
    </row>
    <row r="13">
      <c r="A13" s="14">
        <f>IFERROR(__xludf.DUMMYFUNCTION("""COMPUTED_VALUE"""),12.0)</f>
        <v>12</v>
      </c>
      <c r="B13" s="19" t="str">
        <f>IFERROR(__xludf.DUMMYFUNCTION("""COMPUTED_VALUE"""),"https://imagizer.imageshack.com/img922/8510/GmmPoa.jpg")</f>
        <v>https://imagizer.imageshack.com/img922/8510/GmmPoa.jpg</v>
      </c>
      <c r="C13" s="16" t="str">
        <f>IFERROR(__xludf.DUMMYFUNCTION("""COMPUTED_VALUE"""),"Мясные изделия")</f>
        <v>Мясные изделия</v>
      </c>
      <c r="D13" s="16" t="str">
        <f>IFERROR(__xludf.DUMMYFUNCTION("""COMPUTED_VALUE"""),"Говядина прессованное мясо")</f>
        <v>Говядина прессованное мясо</v>
      </c>
      <c r="E13" s="16" t="str">
        <f>IFERROR(__xludf.DUMMYFUNCTION("""COMPUTED_VALUE"""),"Mol press")</f>
        <v>Mol press</v>
      </c>
      <c r="F13" s="15" t="str">
        <f>IFERROR(__xludf.DUMMYFUNCTION("""COMPUTED_VALUE"""),"кг")</f>
        <v>кг</v>
      </c>
      <c r="G13" s="16"/>
      <c r="H13" s="16">
        <f>IFERROR(__xludf.DUMMYFUNCTION("""COMPUTED_VALUE"""),290000.0)</f>
        <v>290000</v>
      </c>
    </row>
    <row r="14">
      <c r="A14" s="14">
        <f>IFERROR(__xludf.DUMMYFUNCTION("""COMPUTED_VALUE"""),13.0)</f>
        <v>13</v>
      </c>
      <c r="B14" s="19" t="str">
        <f>IFERROR(__xludf.DUMMYFUNCTION("""COMPUTED_VALUE"""),"https://imagizer.imageshack.com/img923/5152/z1nkH7.jpg")</f>
        <v>https://imagizer.imageshack.com/img923/5152/z1nkH7.jpg</v>
      </c>
      <c r="C14" s="16" t="str">
        <f>IFERROR(__xludf.DUMMYFUNCTION("""COMPUTED_VALUE"""),"Мясные изделия")</f>
        <v>Мясные изделия</v>
      </c>
      <c r="D14" s="16" t="str">
        <f>IFERROR(__xludf.DUMMYFUNCTION("""COMPUTED_VALUE"""),"Говяжий рулет")</f>
        <v>Говяжий рулет</v>
      </c>
      <c r="E14" s="16" t="str">
        <f>IFERROR(__xludf.DUMMYFUNCTION("""COMPUTED_VALUE"""),"Mol rulet")</f>
        <v>Mol rulet</v>
      </c>
      <c r="F14" s="15" t="str">
        <f>IFERROR(__xludf.DUMMYFUNCTION("""COMPUTED_VALUE"""),"кг")</f>
        <v>кг</v>
      </c>
      <c r="G14" s="16"/>
      <c r="H14" s="16">
        <f>IFERROR(__xludf.DUMMYFUNCTION("""COMPUTED_VALUE"""),295000.0)</f>
        <v>295000</v>
      </c>
    </row>
    <row r="15">
      <c r="A15" s="14">
        <f>IFERROR(__xludf.DUMMYFUNCTION("""COMPUTED_VALUE"""),14.0)</f>
        <v>14</v>
      </c>
      <c r="B15" s="19" t="str">
        <f>IFERROR(__xludf.DUMMYFUNCTION("""COMPUTED_VALUE"""),"https://imagizer.imageshack.com/img923/623/HVzZP2.jpg")</f>
        <v>https://imagizer.imageshack.com/img923/623/HVzZP2.jpg</v>
      </c>
      <c r="C15" s="16" t="str">
        <f>IFERROR(__xludf.DUMMYFUNCTION("""COMPUTED_VALUE"""),"Мясные изделия")</f>
        <v>Мясные изделия</v>
      </c>
      <c r="D15" s="16" t="str">
        <f>IFERROR(__xludf.DUMMYFUNCTION("""COMPUTED_VALUE"""),"Язык рулет говяжий")</f>
        <v>Язык рулет говяжий</v>
      </c>
      <c r="E15" s="16" t="str">
        <f>IFERROR(__xludf.DUMMYFUNCTION("""COMPUTED_VALUE"""),"Mol til rulet")</f>
        <v>Mol til rulet</v>
      </c>
      <c r="F15" s="15" t="str">
        <f>IFERROR(__xludf.DUMMYFUNCTION("""COMPUTED_VALUE"""),"кг")</f>
        <v>кг</v>
      </c>
      <c r="G15" s="16"/>
      <c r="H15" s="16">
        <f>IFERROR(__xludf.DUMMYFUNCTION("""COMPUTED_VALUE"""),220000.0)</f>
        <v>220000</v>
      </c>
    </row>
    <row r="16">
      <c r="A16" s="14">
        <f>IFERROR(__xludf.DUMMYFUNCTION("""COMPUTED_VALUE"""),15.0)</f>
        <v>15</v>
      </c>
      <c r="B16" s="19" t="str">
        <f>IFERROR(__xludf.DUMMYFUNCTION("""COMPUTED_VALUE"""),"https://imagizer.imageshack.com/img924/8548/h56CZs.jpg")</f>
        <v>https://imagizer.imageshack.com/img924/8548/h56CZs.jpg</v>
      </c>
      <c r="C16" s="16" t="str">
        <f>IFERROR(__xludf.DUMMYFUNCTION("""COMPUTED_VALUE"""),"Мясные изделия")</f>
        <v>Мясные изделия</v>
      </c>
      <c r="D16" s="16" t="str">
        <f>IFERROR(__xludf.DUMMYFUNCTION("""COMPUTED_VALUE"""),"Язык прессованый говяжий")</f>
        <v>Язык прессованый говяжий</v>
      </c>
      <c r="E16" s="16" t="str">
        <f>IFERROR(__xludf.DUMMYFUNCTION("""COMPUTED_VALUE"""),"Mol til press")</f>
        <v>Mol til press</v>
      </c>
      <c r="F16" s="15" t="str">
        <f>IFERROR(__xludf.DUMMYFUNCTION("""COMPUTED_VALUE"""),"кг")</f>
        <v>кг</v>
      </c>
      <c r="G16" s="16"/>
      <c r="H16" s="16">
        <f>IFERROR(__xludf.DUMMYFUNCTION("""COMPUTED_VALUE"""),210000.0)</f>
        <v>210000</v>
      </c>
    </row>
    <row r="17">
      <c r="A17" s="14">
        <f>IFERROR(__xludf.DUMMYFUNCTION("""COMPUTED_VALUE"""),16.0)</f>
        <v>16</v>
      </c>
      <c r="B17" s="19" t="str">
        <f>IFERROR(__xludf.DUMMYFUNCTION("""COMPUTED_VALUE"""),"https://imagizer.imageshack.com/img924/966/tElaQ1.jpg")</f>
        <v>https://imagizer.imageshack.com/img924/966/tElaQ1.jpg</v>
      </c>
      <c r="C17" s="16" t="str">
        <f>IFERROR(__xludf.DUMMYFUNCTION("""COMPUTED_VALUE"""),"Мясные изделия")</f>
        <v>Мясные изделия</v>
      </c>
      <c r="D17" s="16" t="str">
        <f>IFERROR(__xludf.DUMMYFUNCTION("""COMPUTED_VALUE"""),"Рулет говяжий с ёлкой")</f>
        <v>Рулет говяжий с ёлкой</v>
      </c>
      <c r="E17" s="16" t="str">
        <f>IFERROR(__xludf.DUMMYFUNCTION("""COMPUTED_VALUE"""),"Mol archa rulet")</f>
        <v>Mol archa rulet</v>
      </c>
      <c r="F17" s="15" t="str">
        <f>IFERROR(__xludf.DUMMYFUNCTION("""COMPUTED_VALUE"""),"кг")</f>
        <v>кг</v>
      </c>
      <c r="G17" s="16"/>
      <c r="H17" s="16">
        <f>IFERROR(__xludf.DUMMYFUNCTION("""COMPUTED_VALUE"""),290000.0)</f>
        <v>290000</v>
      </c>
    </row>
    <row r="18">
      <c r="A18" s="14">
        <f>IFERROR(__xludf.DUMMYFUNCTION("""COMPUTED_VALUE"""),17.0)</f>
        <v>17</v>
      </c>
      <c r="B18" s="19" t="str">
        <f>IFERROR(__xludf.DUMMYFUNCTION("""COMPUTED_VALUE"""),"https://imagizer.imageshack.com/img922/4175/OR1Yzm.jpg")</f>
        <v>https://imagizer.imageshack.com/img922/4175/OR1Yzm.jpg</v>
      </c>
      <c r="C18" s="16" t="str">
        <f>IFERROR(__xludf.DUMMYFUNCTION("""COMPUTED_VALUE"""),"Мясные изделия")</f>
        <v>Мясные изделия</v>
      </c>
      <c r="D18" s="16" t="str">
        <f>IFERROR(__xludf.DUMMYFUNCTION("""COMPUTED_VALUE"""),"Говядина + баранина рулет")</f>
        <v>Говядина + баранина рулет</v>
      </c>
      <c r="E18" s="16" t="str">
        <f>IFERROR(__xludf.DUMMYFUNCTION("""COMPUTED_VALUE"""),"Mol + qo'y rulet ")</f>
        <v>Mol + qo'y rulet </v>
      </c>
      <c r="F18" s="15" t="str">
        <f>IFERROR(__xludf.DUMMYFUNCTION("""COMPUTED_VALUE"""),"кг")</f>
        <v>кг</v>
      </c>
      <c r="G18" s="16"/>
      <c r="H18" s="16">
        <f>IFERROR(__xludf.DUMMYFUNCTION("""COMPUTED_VALUE"""),285000.0)</f>
        <v>285000</v>
      </c>
    </row>
    <row r="19">
      <c r="A19" s="14">
        <f>IFERROR(__xludf.DUMMYFUNCTION("""COMPUTED_VALUE"""),18.0)</f>
        <v>18</v>
      </c>
      <c r="B19" s="19" t="str">
        <f>IFERROR(__xludf.DUMMYFUNCTION("""COMPUTED_VALUE"""),"https://imagizer.imageshack.com/img923/6220/sIw3My.png")</f>
        <v>https://imagizer.imageshack.com/img923/6220/sIw3My.png</v>
      </c>
      <c r="C19" s="16" t="str">
        <f>IFERROR(__xludf.DUMMYFUNCTION("""COMPUTED_VALUE"""),"Мясные изделия")</f>
        <v>Мясные изделия</v>
      </c>
      <c r="D19" s="16" t="str">
        <f>IFERROR(__xludf.DUMMYFUNCTION("""COMPUTED_VALUE"""),"Говяжий рулет со свекольным соком")</f>
        <v>Говяжий рулет со свекольным соком</v>
      </c>
      <c r="E19" s="16" t="str">
        <f>IFERROR(__xludf.DUMMYFUNCTION("""COMPUTED_VALUE"""),"Mol yangilik rulet")</f>
        <v>Mol yangilik rulet</v>
      </c>
      <c r="F19" s="15" t="str">
        <f>IFERROR(__xludf.DUMMYFUNCTION("""COMPUTED_VALUE"""),"кг")</f>
        <v>кг</v>
      </c>
      <c r="G19" s="16"/>
      <c r="H19" s="16">
        <f>IFERROR(__xludf.DUMMYFUNCTION("""COMPUTED_VALUE"""),330000.0)</f>
        <v>330000</v>
      </c>
    </row>
    <row r="20">
      <c r="A20" s="14">
        <f>IFERROR(__xludf.DUMMYFUNCTION("""COMPUTED_VALUE"""),19.0)</f>
        <v>19</v>
      </c>
      <c r="B20" s="19" t="str">
        <f>IFERROR(__xludf.DUMMYFUNCTION("""COMPUTED_VALUE"""),"https://imagizer.imageshack.com/img924/2130/HTftCd.jpg")</f>
        <v>https://imagizer.imageshack.com/img924/2130/HTftCd.jpg</v>
      </c>
      <c r="C20" s="16" t="str">
        <f>IFERROR(__xludf.DUMMYFUNCTION("""COMPUTED_VALUE"""),"Мясные изделия")</f>
        <v>Мясные изделия</v>
      </c>
      <c r="D20" s="16" t="str">
        <f>IFERROR(__xludf.DUMMYFUNCTION("""COMPUTED_VALUE"""),"Говядина + сыр рулет")</f>
        <v>Говядина + сыр рулет</v>
      </c>
      <c r="E20" s="16" t="str">
        <f>IFERROR(__xludf.DUMMYFUNCTION("""COMPUTED_VALUE"""),"Mol + sir rulet ")</f>
        <v>Mol + sir rulet </v>
      </c>
      <c r="F20" s="15" t="str">
        <f>IFERROR(__xludf.DUMMYFUNCTION("""COMPUTED_VALUE"""),"кг")</f>
        <v>кг</v>
      </c>
      <c r="G20" s="16"/>
      <c r="H20" s="16">
        <f>IFERROR(__xludf.DUMMYFUNCTION("""COMPUTED_VALUE"""),240000.0)</f>
        <v>240000</v>
      </c>
    </row>
    <row r="21">
      <c r="A21" s="14">
        <f>IFERROR(__xludf.DUMMYFUNCTION("""COMPUTED_VALUE"""),20.0)</f>
        <v>20</v>
      </c>
      <c r="B21" s="19" t="str">
        <f>IFERROR(__xludf.DUMMYFUNCTION("""COMPUTED_VALUE"""),"https://imagizer.imageshack.com/img922/9315/wLYrK2.png")</f>
        <v>https://imagizer.imageshack.com/img922/9315/wLYrK2.png</v>
      </c>
      <c r="C21" s="16" t="str">
        <f>IFERROR(__xludf.DUMMYFUNCTION("""COMPUTED_VALUE"""),"Мясные изделия")</f>
        <v>Мясные изделия</v>
      </c>
      <c r="D21" s="16" t="str">
        <f>IFERROR(__xludf.DUMMYFUNCTION("""COMPUTED_VALUE"""),"Бусидо")</f>
        <v>Бусидо</v>
      </c>
      <c r="E21" s="16" t="str">
        <f>IFERROR(__xludf.DUMMYFUNCTION("""COMPUTED_VALUE"""),"Busido")</f>
        <v>Busido</v>
      </c>
      <c r="F21" s="15" t="str">
        <f>IFERROR(__xludf.DUMMYFUNCTION("""COMPUTED_VALUE"""),"кг")</f>
        <v>кг</v>
      </c>
      <c r="G21" s="16"/>
      <c r="H21" s="16">
        <f>IFERROR(__xludf.DUMMYFUNCTION("""COMPUTED_VALUE"""),110000.0)</f>
        <v>110000</v>
      </c>
    </row>
    <row r="22">
      <c r="A22" s="14">
        <f>IFERROR(__xludf.DUMMYFUNCTION("""COMPUTED_VALUE"""),21.0)</f>
        <v>21</v>
      </c>
      <c r="B22" s="19" t="str">
        <f>IFERROR(__xludf.DUMMYFUNCTION("""COMPUTED_VALUE"""),"https://imagizer.imageshack.com/img923/2457/kKaI1O.png")</f>
        <v>https://imagizer.imageshack.com/img923/2457/kKaI1O.png</v>
      </c>
      <c r="C22" s="16" t="str">
        <f>IFERROR(__xludf.DUMMYFUNCTION("""COMPUTED_VALUE"""),"Мясные изделия")</f>
        <v>Мясные изделия</v>
      </c>
      <c r="D22" s="16" t="str">
        <f>IFERROR(__xludf.DUMMYFUNCTION("""COMPUTED_VALUE"""),"Говядина тандыр рулет")</f>
        <v>Говядина тандыр рулет</v>
      </c>
      <c r="E22" s="16" t="str">
        <f>IFERROR(__xludf.DUMMYFUNCTION("""COMPUTED_VALUE"""),"Mol tandir rulet ")</f>
        <v>Mol tandir rulet </v>
      </c>
      <c r="F22" s="15" t="str">
        <f>IFERROR(__xludf.DUMMYFUNCTION("""COMPUTED_VALUE"""),"кг")</f>
        <v>кг</v>
      </c>
      <c r="G22" s="16"/>
      <c r="H22" s="16">
        <f>IFERROR(__xludf.DUMMYFUNCTION("""COMPUTED_VALUE"""),340000.0)</f>
        <v>340000</v>
      </c>
    </row>
    <row r="23">
      <c r="A23" s="14">
        <f>IFERROR(__xludf.DUMMYFUNCTION("""COMPUTED_VALUE"""),22.0)</f>
        <v>22</v>
      </c>
      <c r="B23" s="19" t="str">
        <f>IFERROR(__xludf.DUMMYFUNCTION("""COMPUTED_VALUE"""),"https://imagizer.imageshack.com/img922/736/okM4hp.png")</f>
        <v>https://imagizer.imageshack.com/img922/736/okM4hp.png</v>
      </c>
      <c r="C23" s="16" t="str">
        <f>IFERROR(__xludf.DUMMYFUNCTION("""COMPUTED_VALUE"""),"Мясные изделия")</f>
        <v>Мясные изделия</v>
      </c>
      <c r="D23" s="16" t="str">
        <f>IFERROR(__xludf.DUMMYFUNCTION("""COMPUTED_VALUE"""),"Вакуумированный говяжий язык")</f>
        <v>Вакуумированный говяжий язык</v>
      </c>
      <c r="E23" s="16" t="str">
        <f>IFERROR(__xludf.DUMMYFUNCTION("""COMPUTED_VALUE"""),"Mol til vakum ")</f>
        <v>Mol til vakum </v>
      </c>
      <c r="F23" s="15" t="str">
        <f>IFERROR(__xludf.DUMMYFUNCTION("""COMPUTED_VALUE"""),"кг")</f>
        <v>кг</v>
      </c>
      <c r="G23" s="16"/>
      <c r="H23" s="16">
        <f>IFERROR(__xludf.DUMMYFUNCTION("""COMPUTED_VALUE"""),190000.0)</f>
        <v>190000</v>
      </c>
    </row>
    <row r="24">
      <c r="A24" s="14">
        <f>IFERROR(__xludf.DUMMYFUNCTION("""COMPUTED_VALUE"""),23.0)</f>
        <v>23</v>
      </c>
      <c r="B24" s="19" t="str">
        <f>IFERROR(__xludf.DUMMYFUNCTION("""COMPUTED_VALUE"""),"https://imagizer.imageshack.com/img922/1475/xGzaXx.png")</f>
        <v>https://imagizer.imageshack.com/img922/1475/xGzaXx.png</v>
      </c>
      <c r="C24" s="16" t="str">
        <f>IFERROR(__xludf.DUMMYFUNCTION("""COMPUTED_VALUE"""),"Мясные изделия")</f>
        <v>Мясные изделия</v>
      </c>
      <c r="D24" s="16" t="str">
        <f>IFERROR(__xludf.DUMMYFUNCTION("""COMPUTED_VALUE"""),"Рулет из бараньей грудинки")</f>
        <v>Рулет из бараньей грудинки</v>
      </c>
      <c r="E24" s="16" t="str">
        <f>IFERROR(__xludf.DUMMYFUNCTION("""COMPUTED_VALUE"""),"Qo'y to'sh rulet")</f>
        <v>Qo'y to'sh rulet</v>
      </c>
      <c r="F24" s="15" t="str">
        <f>IFERROR(__xludf.DUMMYFUNCTION("""COMPUTED_VALUE"""),"кг")</f>
        <v>кг</v>
      </c>
      <c r="G24" s="16"/>
      <c r="H24" s="16">
        <f>IFERROR(__xludf.DUMMYFUNCTION("""COMPUTED_VALUE"""),255000.0)</f>
        <v>255000</v>
      </c>
    </row>
    <row r="25">
      <c r="A25" s="14">
        <f>IFERROR(__xludf.DUMMYFUNCTION("""COMPUTED_VALUE"""),24.0)</f>
        <v>24</v>
      </c>
      <c r="B25" s="19" t="str">
        <f>IFERROR(__xludf.DUMMYFUNCTION("""COMPUTED_VALUE"""),"https://imagizer.imageshack.com/img922/266/xeEoYZ.jpg")</f>
        <v>https://imagizer.imageshack.com/img922/266/xeEoYZ.jpg</v>
      </c>
      <c r="C25" s="16" t="str">
        <f>IFERROR(__xludf.DUMMYFUNCTION("""COMPUTED_VALUE"""),"Мясные изделия")</f>
        <v>Мясные изделия</v>
      </c>
      <c r="D25" s="16" t="str">
        <f>IFERROR(__xludf.DUMMYFUNCTION("""COMPUTED_VALUE"""),"Вакуумированный бараньий язык")</f>
        <v>Вакуумированный бараньий язык</v>
      </c>
      <c r="E25" s="16" t="str">
        <f>IFERROR(__xludf.DUMMYFUNCTION("""COMPUTED_VALUE"""),"Qo'y til vakum")</f>
        <v>Qo'y til vakum</v>
      </c>
      <c r="F25" s="15" t="str">
        <f>IFERROR(__xludf.DUMMYFUNCTION("""COMPUTED_VALUE"""),"кг")</f>
        <v>кг</v>
      </c>
      <c r="G25" s="16"/>
      <c r="H25" s="16">
        <f>IFERROR(__xludf.DUMMYFUNCTION("""COMPUTED_VALUE"""),75000.0)</f>
        <v>75000</v>
      </c>
    </row>
    <row r="26">
      <c r="A26" s="14">
        <f>IFERROR(__xludf.DUMMYFUNCTION("""COMPUTED_VALUE"""),25.0)</f>
        <v>25</v>
      </c>
      <c r="B26" s="19" t="str">
        <f>IFERROR(__xludf.DUMMYFUNCTION("""COMPUTED_VALUE"""),"https://imagizer.imageshack.com/img924/8548/h56CZs.jpg")</f>
        <v>https://imagizer.imageshack.com/img924/8548/h56CZs.jpg</v>
      </c>
      <c r="C26" s="16" t="str">
        <f>IFERROR(__xludf.DUMMYFUNCTION("""COMPUTED_VALUE"""),"Мясные изделия")</f>
        <v>Мясные изделия</v>
      </c>
      <c r="D26" s="16" t="str">
        <f>IFERROR(__xludf.DUMMYFUNCTION("""COMPUTED_VALUE"""),"Сыровяленая баранья грудинка")</f>
        <v>Сыровяленая баранья грудинка</v>
      </c>
      <c r="E26" s="16" t="str">
        <f>IFERROR(__xludf.DUMMYFUNCTION("""COMPUTED_VALUE"""),"Qo'y xom sur to'sh")</f>
        <v>Qo'y xom sur to'sh</v>
      </c>
      <c r="F26" s="15" t="str">
        <f>IFERROR(__xludf.DUMMYFUNCTION("""COMPUTED_VALUE"""),"кг")</f>
        <v>кг</v>
      </c>
      <c r="G26" s="16"/>
      <c r="H26" s="16">
        <f>IFERROR(__xludf.DUMMYFUNCTION("""COMPUTED_VALUE"""),170000.0)</f>
        <v>170000</v>
      </c>
    </row>
    <row r="27">
      <c r="A27" s="14">
        <f>IFERROR(__xludf.DUMMYFUNCTION("""COMPUTED_VALUE"""),26.0)</f>
        <v>26</v>
      </c>
      <c r="B27" s="19" t="str">
        <f>IFERROR(__xludf.DUMMYFUNCTION("""COMPUTED_VALUE"""),"https://imagizer.imageshack.com/img924/3458/B0Z0cj.png")</f>
        <v>https://imagizer.imageshack.com/img924/3458/B0Z0cj.png</v>
      </c>
      <c r="C27" s="16" t="str">
        <f>IFERROR(__xludf.DUMMYFUNCTION("""COMPUTED_VALUE"""),"Мясные изделия")</f>
        <v>Мясные изделия</v>
      </c>
      <c r="D27" s="16" t="str">
        <f>IFERROR(__xludf.DUMMYFUNCTION("""COMPUTED_VALUE"""),"Тандырная баранина")</f>
        <v>Тандырная баранина</v>
      </c>
      <c r="E27" s="16" t="str">
        <f>IFERROR(__xludf.DUMMYFUNCTION("""COMPUTED_VALUE"""),"Qo'y tandir")</f>
        <v>Qo'y tandir</v>
      </c>
      <c r="F27" s="15" t="str">
        <f>IFERROR(__xludf.DUMMYFUNCTION("""COMPUTED_VALUE"""),"кг")</f>
        <v>кг</v>
      </c>
      <c r="G27" s="16"/>
      <c r="H27" s="16">
        <f>IFERROR(__xludf.DUMMYFUNCTION("""COMPUTED_VALUE"""),260000.0)</f>
        <v>260000</v>
      </c>
    </row>
    <row r="28">
      <c r="A28" s="14">
        <f>IFERROR(__xludf.DUMMYFUNCTION("""COMPUTED_VALUE"""),27.0)</f>
        <v>27</v>
      </c>
      <c r="B28" s="19" t="str">
        <f>IFERROR(__xludf.DUMMYFUNCTION("""COMPUTED_VALUE"""),"https://imagizer.imageshack.com/img922/3217/KyeWrL.jpg")</f>
        <v>https://imagizer.imageshack.com/img922/3217/KyeWrL.jpg</v>
      </c>
      <c r="C28" s="16" t="str">
        <f>IFERROR(__xludf.DUMMYFUNCTION("""COMPUTED_VALUE"""),"Мясные изделия")</f>
        <v>Мясные изделия</v>
      </c>
      <c r="D28" s="16" t="str">
        <f>IFERROR(__xludf.DUMMYFUNCTION("""COMPUTED_VALUE"""),"Копчёный курдюк")</f>
        <v>Копчёный курдюк</v>
      </c>
      <c r="E28" s="16" t="str">
        <f>IFERROR(__xludf.DUMMYFUNCTION("""COMPUTED_VALUE"""),"Dudlangan dumba")</f>
        <v>Dudlangan dumba</v>
      </c>
      <c r="F28" s="15" t="str">
        <f>IFERROR(__xludf.DUMMYFUNCTION("""COMPUTED_VALUE"""),"кг")</f>
        <v>кг</v>
      </c>
      <c r="G28" s="16"/>
      <c r="H28" s="16">
        <f>IFERROR(__xludf.DUMMYFUNCTION("""COMPUTED_VALUE"""),195000.0)</f>
        <v>195000</v>
      </c>
    </row>
    <row r="29">
      <c r="A29" s="14">
        <f>IFERROR(__xludf.DUMMYFUNCTION("""COMPUTED_VALUE"""),28.0)</f>
        <v>28</v>
      </c>
      <c r="B29" s="19" t="str">
        <f>IFERROR(__xludf.DUMMYFUNCTION("""COMPUTED_VALUE"""),"https://imagizer.imageshack.com/img924/4724/ZgTtn1.jpg")</f>
        <v>https://imagizer.imageshack.com/img924/4724/ZgTtn1.jpg</v>
      </c>
      <c r="C29" s="16" t="str">
        <f>IFERROR(__xludf.DUMMYFUNCTION("""COMPUTED_VALUE"""),"Колбасные изделия")</f>
        <v>Колбасные изделия</v>
      </c>
      <c r="D29" s="16" t="str">
        <f>IFERROR(__xludf.DUMMYFUNCTION("""COMPUTED_VALUE"""),"Мортаделла говядина + индейка + фисташки")</f>
        <v>Мортаделла говядина + индейка + фисташки</v>
      </c>
      <c r="E29" s="16" t="str">
        <f>IFERROR(__xludf.DUMMYFUNCTION("""COMPUTED_VALUE"""),"Mortadella Mol+kurka+fistashka")</f>
        <v>Mortadella Mol+kurka+fistashka</v>
      </c>
      <c r="F29" s="15" t="str">
        <f>IFERROR(__xludf.DUMMYFUNCTION("""COMPUTED_VALUE"""),"кг")</f>
        <v>кг</v>
      </c>
      <c r="G29" s="16"/>
      <c r="H29" s="16">
        <f>IFERROR(__xludf.DUMMYFUNCTION("""COMPUTED_VALUE"""),120000.0)</f>
        <v>120000</v>
      </c>
    </row>
    <row r="30">
      <c r="A30" s="14">
        <f>IFERROR(__xludf.DUMMYFUNCTION("""COMPUTED_VALUE"""),29.0)</f>
        <v>29</v>
      </c>
      <c r="B30" s="19" t="str">
        <f>IFERROR(__xludf.DUMMYFUNCTION("""COMPUTED_VALUE"""),"https://imagizer.imageshack.com/img924/3458/B0Z0cj.png")</f>
        <v>https://imagizer.imageshack.com/img924/3458/B0Z0cj.png</v>
      </c>
      <c r="C30" s="16" t="str">
        <f>IFERROR(__xludf.DUMMYFUNCTION("""COMPUTED_VALUE"""),"Колбасные изделия")</f>
        <v>Колбасные изделия</v>
      </c>
      <c r="D30" s="16" t="str">
        <f>IFERROR(__xludf.DUMMYFUNCTION("""COMPUTED_VALUE"""),"Сосиски «Охота»")</f>
        <v>Сосиски «Охота»</v>
      </c>
      <c r="E30" s="16" t="str">
        <f>IFERROR(__xludf.DUMMYFUNCTION("""COMPUTED_VALUE"""),"Oxota sosiska")</f>
        <v>Oxota sosiska</v>
      </c>
      <c r="F30" s="15" t="str">
        <f>IFERROR(__xludf.DUMMYFUNCTION("""COMPUTED_VALUE"""),"кг")</f>
        <v>кг</v>
      </c>
      <c r="G30" s="16"/>
      <c r="H30" s="16">
        <f>IFERROR(__xludf.DUMMYFUNCTION("""COMPUTED_VALUE"""),145000.0)</f>
        <v>145000</v>
      </c>
    </row>
    <row r="31">
      <c r="A31" s="14">
        <f>IFERROR(__xludf.DUMMYFUNCTION("""COMPUTED_VALUE"""),30.0)</f>
        <v>30</v>
      </c>
      <c r="B31" s="19" t="str">
        <f>IFERROR(__xludf.DUMMYFUNCTION("""COMPUTED_VALUE"""),"https://imagizer.imageshack.com/img924/453/qqBnct.png")</f>
        <v>https://imagizer.imageshack.com/img924/453/qqBnct.png</v>
      </c>
      <c r="C31" s="16" t="str">
        <f>IFERROR(__xludf.DUMMYFUNCTION("""COMPUTED_VALUE"""),"Колбасные изделия")</f>
        <v>Колбасные изделия</v>
      </c>
      <c r="D31" s="16" t="str">
        <f>IFERROR(__xludf.DUMMYFUNCTION("""COMPUTED_VALUE"""),"Сосиски «сливочные»")</f>
        <v>Сосиски «сливочные»</v>
      </c>
      <c r="E31" s="16" t="str">
        <f>IFERROR(__xludf.DUMMYFUNCTION("""COMPUTED_VALUE"""),"Sosiska ""saryog'li""")</f>
        <v>Sosiska "saryog'li"</v>
      </c>
      <c r="F31" s="15" t="str">
        <f>IFERROR(__xludf.DUMMYFUNCTION("""COMPUTED_VALUE"""),"кг")</f>
        <v>кг</v>
      </c>
      <c r="G31" s="16"/>
      <c r="H31" s="16">
        <f>IFERROR(__xludf.DUMMYFUNCTION("""COMPUTED_VALUE"""),140000.0)</f>
        <v>140000</v>
      </c>
    </row>
    <row r="32">
      <c r="A32" s="14">
        <f>IFERROR(__xludf.DUMMYFUNCTION("""COMPUTED_VALUE"""),31.0)</f>
        <v>31</v>
      </c>
      <c r="B32" s="19" t="str">
        <f>IFERROR(__xludf.DUMMYFUNCTION("""COMPUTED_VALUE"""),"https://imagizer.imageshack.com/img924/2235/19S198.png")</f>
        <v>https://imagizer.imageshack.com/img924/2235/19S198.png</v>
      </c>
      <c r="C32" s="16" t="str">
        <f>IFERROR(__xludf.DUMMYFUNCTION("""COMPUTED_VALUE"""),"Колбасные изделия")</f>
        <v>Колбасные изделия</v>
      </c>
      <c r="D32" s="16" t="str">
        <f>IFERROR(__xludf.DUMMYFUNCTION("""COMPUTED_VALUE"""),"Сосиски «сырные»")</f>
        <v>Сосиски «сырные»</v>
      </c>
      <c r="E32" s="16" t="str">
        <f>IFERROR(__xludf.DUMMYFUNCTION("""COMPUTED_VALUE"""),"Sosiska ""pishloqli""")</f>
        <v>Sosiska "pishloqli"</v>
      </c>
      <c r="F32" s="15" t="str">
        <f>IFERROR(__xludf.DUMMYFUNCTION("""COMPUTED_VALUE"""),"кг")</f>
        <v>кг</v>
      </c>
      <c r="G32" s="16"/>
      <c r="H32" s="16">
        <f>IFERROR(__xludf.DUMMYFUNCTION("""COMPUTED_VALUE"""),140000.0)</f>
        <v>140000</v>
      </c>
    </row>
    <row r="33">
      <c r="A33" s="14">
        <f>IFERROR(__xludf.DUMMYFUNCTION("""COMPUTED_VALUE"""),32.0)</f>
        <v>32</v>
      </c>
      <c r="B33" s="19" t="str">
        <f>IFERROR(__xludf.DUMMYFUNCTION("""COMPUTED_VALUE"""),"https://imagizer.imageshack.com/img924/453/qqBnct.png")</f>
        <v>https://imagizer.imageshack.com/img924/453/qqBnct.png</v>
      </c>
      <c r="C33" s="16" t="str">
        <f>IFERROR(__xludf.DUMMYFUNCTION("""COMPUTED_VALUE"""),"Колбасные изделия")</f>
        <v>Колбасные изделия</v>
      </c>
      <c r="D33" s="16" t="str">
        <f>IFERROR(__xludf.DUMMYFUNCTION("""COMPUTED_VALUE"""),"Сосиски обычные")</f>
        <v>Сосиски обычные</v>
      </c>
      <c r="E33" s="16" t="str">
        <f>IFERROR(__xludf.DUMMYFUNCTION("""COMPUTED_VALUE"""),"Sosiska oddiy")</f>
        <v>Sosiska oddiy</v>
      </c>
      <c r="F33" s="15" t="str">
        <f>IFERROR(__xludf.DUMMYFUNCTION("""COMPUTED_VALUE"""),"кг")</f>
        <v>кг</v>
      </c>
      <c r="G33" s="16"/>
      <c r="H33" s="16">
        <f>IFERROR(__xludf.DUMMYFUNCTION("""COMPUTED_VALUE"""),130000.0)</f>
        <v>130000</v>
      </c>
    </row>
    <row r="34">
      <c r="A34" s="14">
        <f>IFERROR(__xludf.DUMMYFUNCTION("""COMPUTED_VALUE"""),33.0)</f>
        <v>33</v>
      </c>
      <c r="B34" s="19" t="str">
        <f>IFERROR(__xludf.DUMMYFUNCTION("""COMPUTED_VALUE"""),"https://imagizer.imageshack.com/img922/1142/ELu7Lz.jpg")</f>
        <v>https://imagizer.imageshack.com/img922/1142/ELu7Lz.jpg</v>
      </c>
      <c r="C34" s="16" t="str">
        <f>IFERROR(__xludf.DUMMYFUNCTION("""COMPUTED_VALUE"""),"Колбасные изделия")</f>
        <v>Колбасные изделия</v>
      </c>
      <c r="D34" s="16" t="str">
        <f>IFERROR(__xludf.DUMMYFUNCTION("""COMPUTED_VALUE"""),"Варёная колбаса «сливочная»")</f>
        <v>Варёная колбаса «сливочная»</v>
      </c>
      <c r="E34" s="16" t="str">
        <f>IFERROR(__xludf.DUMMYFUNCTION("""COMPUTED_VALUE"""),"Qaynatma kolbasa ""saryog'li""")</f>
        <v>Qaynatma kolbasa "saryog'li"</v>
      </c>
      <c r="F34" s="15" t="str">
        <f>IFERROR(__xludf.DUMMYFUNCTION("""COMPUTED_VALUE"""),"кг")</f>
        <v>кг</v>
      </c>
      <c r="G34" s="16"/>
      <c r="H34" s="16">
        <f>IFERROR(__xludf.DUMMYFUNCTION("""COMPUTED_VALUE"""),140000.0)</f>
        <v>140000</v>
      </c>
    </row>
    <row r="35">
      <c r="A35" s="14">
        <f>IFERROR(__xludf.DUMMYFUNCTION("""COMPUTED_VALUE"""),34.0)</f>
        <v>34</v>
      </c>
      <c r="B35" s="19" t="str">
        <f>IFERROR(__xludf.DUMMYFUNCTION("""COMPUTED_VALUE"""),"https://imagizer.imageshack.com/img924/9435/Dvl9nS.png")</f>
        <v>https://imagizer.imageshack.com/img924/9435/Dvl9nS.png</v>
      </c>
      <c r="C35" s="16" t="str">
        <f>IFERROR(__xludf.DUMMYFUNCTION("""COMPUTED_VALUE"""),"Колбасные изделия")</f>
        <v>Колбасные изделия</v>
      </c>
      <c r="D35" s="16" t="str">
        <f>IFERROR(__xludf.DUMMYFUNCTION("""COMPUTED_VALUE"""),"Обычная варёная колбаса")</f>
        <v>Обычная варёная колбаса</v>
      </c>
      <c r="E35" s="16" t="str">
        <f>IFERROR(__xludf.DUMMYFUNCTION("""COMPUTED_VALUE"""),"Qaynatma kolbasa oddiy")</f>
        <v>Qaynatma kolbasa oddiy</v>
      </c>
      <c r="F35" s="15" t="str">
        <f>IFERROR(__xludf.DUMMYFUNCTION("""COMPUTED_VALUE"""),"кг")</f>
        <v>кг</v>
      </c>
      <c r="G35" s="16"/>
      <c r="H35" s="16">
        <f>IFERROR(__xludf.DUMMYFUNCTION("""COMPUTED_VALUE"""),120000.0)</f>
        <v>120000</v>
      </c>
    </row>
    <row r="36">
      <c r="A36" s="14">
        <f>IFERROR(__xludf.DUMMYFUNCTION("""COMPUTED_VALUE"""),35.0)</f>
        <v>35</v>
      </c>
      <c r="B36" s="19" t="str">
        <f>IFERROR(__xludf.DUMMYFUNCTION("""COMPUTED_VALUE"""),"https://imagizer.imageshack.com/img922/4906/vYjAuo.jpg")</f>
        <v>https://imagizer.imageshack.com/img922/4906/vYjAuo.jpg</v>
      </c>
      <c r="C36" s="16" t="str">
        <f>IFERROR(__xludf.DUMMYFUNCTION("""COMPUTED_VALUE"""),"Колбасные изделия")</f>
        <v>Колбасные изделия</v>
      </c>
      <c r="D36" s="16" t="str">
        <f>IFERROR(__xludf.DUMMYFUNCTION("""COMPUTED_VALUE"""),"Ассорти колбасa")</f>
        <v>Ассорти колбасa</v>
      </c>
      <c r="E36" s="16" t="str">
        <f>IFERROR(__xludf.DUMMYFUNCTION("""COMPUTED_VALUE"""),"Kolbasa assarti")</f>
        <v>Kolbasa assarti</v>
      </c>
      <c r="F36" s="15" t="str">
        <f>IFERROR(__xludf.DUMMYFUNCTION("""COMPUTED_VALUE"""),"кг")</f>
        <v>кг</v>
      </c>
      <c r="G36" s="16"/>
      <c r="H36" s="16">
        <f>IFERROR(__xludf.DUMMYFUNCTION("""COMPUTED_VALUE"""),175000.0)</f>
        <v>175000</v>
      </c>
    </row>
    <row r="37">
      <c r="A37" s="14">
        <f>IFERROR(__xludf.DUMMYFUNCTION("""COMPUTED_VALUE"""),36.0)</f>
        <v>36</v>
      </c>
      <c r="B37" s="19" t="str">
        <f>IFERROR(__xludf.DUMMYFUNCTION("""COMPUTED_VALUE"""),"https://imagizer.imageshack.com/img923/4690/EdSd34.jpg")</f>
        <v>https://imagizer.imageshack.com/img923/4690/EdSd34.jpg</v>
      </c>
      <c r="C37" s="16" t="str">
        <f>IFERROR(__xludf.DUMMYFUNCTION("""COMPUTED_VALUE"""),"Колбасные изделия")</f>
        <v>Колбасные изделия</v>
      </c>
      <c r="D37" s="16" t="str">
        <f>IFERROR(__xludf.DUMMYFUNCTION("""COMPUTED_VALUE"""),"Колбаса с курдюком")</f>
        <v>Колбаса с курдюком</v>
      </c>
      <c r="E37" s="16" t="str">
        <f>IFERROR(__xludf.DUMMYFUNCTION("""COMPUTED_VALUE"""),"Kolbasa dumbali")</f>
        <v>Kolbasa dumbali</v>
      </c>
      <c r="F37" s="15" t="str">
        <f>IFERROR(__xludf.DUMMYFUNCTION("""COMPUTED_VALUE"""),"кг")</f>
        <v>кг</v>
      </c>
      <c r="G37" s="16"/>
      <c r="H37" s="16">
        <f>IFERROR(__xludf.DUMMYFUNCTION("""COMPUTED_VALUE"""),145000.0)</f>
        <v>145000</v>
      </c>
    </row>
    <row r="38">
      <c r="A38" s="14">
        <f>IFERROR(__xludf.DUMMYFUNCTION("""COMPUTED_VALUE"""),37.0)</f>
        <v>37</v>
      </c>
      <c r="B38" s="19" t="str">
        <f>IFERROR(__xludf.DUMMYFUNCTION("""COMPUTED_VALUE"""),"https://imagizer.imageshack.com/img922/6277/ThbUmB.png")</f>
        <v>https://imagizer.imageshack.com/img922/6277/ThbUmB.png</v>
      </c>
      <c r="C38" s="16" t="str">
        <f>IFERROR(__xludf.DUMMYFUNCTION("""COMPUTED_VALUE"""),"Колбасные изделия")</f>
        <v>Колбасные изделия</v>
      </c>
      <c r="D38" s="16" t="str">
        <f>IFERROR(__xludf.DUMMYFUNCTION("""COMPUTED_VALUE"""),"Колбаса говядина + индейка")</f>
        <v>Колбаса говядина + индейка</v>
      </c>
      <c r="E38" s="16" t="str">
        <f>IFERROR(__xludf.DUMMYFUNCTION("""COMPUTED_VALUE"""),"Kolbasa mol+kurka")</f>
        <v>Kolbasa mol+kurka</v>
      </c>
      <c r="F38" s="15" t="str">
        <f>IFERROR(__xludf.DUMMYFUNCTION("""COMPUTED_VALUE"""),"кг")</f>
        <v>кг</v>
      </c>
      <c r="G38" s="16"/>
      <c r="H38" s="16">
        <f>IFERROR(__xludf.DUMMYFUNCTION("""COMPUTED_VALUE"""),145000.0)</f>
        <v>145000</v>
      </c>
    </row>
    <row r="39">
      <c r="A39" s="14">
        <f>IFERROR(__xludf.DUMMYFUNCTION("""COMPUTED_VALUE"""),38.0)</f>
        <v>38</v>
      </c>
      <c r="B39" s="19" t="str">
        <f>IFERROR(__xludf.DUMMYFUNCTION("""COMPUTED_VALUE"""),"https://imagizer.imageshack.com/img923/3875/n8YQPL.png")</f>
        <v>https://imagizer.imageshack.com/img923/3875/n8YQPL.png</v>
      </c>
      <c r="C39" s="16" t="str">
        <f>IFERROR(__xludf.DUMMYFUNCTION("""COMPUTED_VALUE"""),"Колбасные изделия")</f>
        <v>Колбасные изделия</v>
      </c>
      <c r="D39" s="16" t="str">
        <f>IFERROR(__xludf.DUMMYFUNCTION("""COMPUTED_VALUE"""),"Копчёная говядижая мясо")</f>
        <v>Копчёная говядижая мясо</v>
      </c>
      <c r="E39" s="16" t="str">
        <f>IFERROR(__xludf.DUMMYFUNCTION("""COMPUTED_VALUE"""),"Dudlangan mol go'sht")</f>
        <v>Dudlangan mol go'sht</v>
      </c>
      <c r="F39" s="15" t="str">
        <f>IFERROR(__xludf.DUMMYFUNCTION("""COMPUTED_VALUE"""),"кг")</f>
        <v>кг</v>
      </c>
      <c r="G39" s="16"/>
      <c r="H39" s="16">
        <f>IFERROR(__xludf.DUMMYFUNCTION("""COMPUTED_VALUE"""),160000.0)</f>
        <v>160000</v>
      </c>
    </row>
    <row r="40">
      <c r="A40" s="14">
        <f>IFERROR(__xludf.DUMMYFUNCTION("""COMPUTED_VALUE"""),39.0)</f>
        <v>39</v>
      </c>
      <c r="B40" s="19" t="str">
        <f>IFERROR(__xludf.DUMMYFUNCTION("""COMPUTED_VALUE"""),"https://imagizer.imageshack.com/img924/4930/f2sikm.jpg")</f>
        <v>https://imagizer.imageshack.com/img924/4930/f2sikm.jpg</v>
      </c>
      <c r="C40" s="16" t="str">
        <f>IFERROR(__xludf.DUMMYFUNCTION("""COMPUTED_VALUE"""),"Куринные рулеты")</f>
        <v>Куринные рулеты</v>
      </c>
      <c r="D40" s="16" t="str">
        <f>IFERROR(__xludf.DUMMYFUNCTION("""COMPUTED_VALUE"""),"Цыплёнок тандыр (целый)")</f>
        <v>Цыплёнок тандыр (целый)</v>
      </c>
      <c r="E40" s="16" t="str">
        <f>IFERROR(__xludf.DUMMYFUNCTION("""COMPUTED_VALUE"""),"Tovuq tandir butun")</f>
        <v>Tovuq tandir butun</v>
      </c>
      <c r="F40" s="15" t="str">
        <f>IFERROR(__xludf.DUMMYFUNCTION("""COMPUTED_VALUE"""),"шт")</f>
        <v>шт</v>
      </c>
      <c r="G40" s="16"/>
      <c r="H40" s="16">
        <f>IFERROR(__xludf.DUMMYFUNCTION("""COMPUTED_VALUE"""),75000.0)</f>
        <v>75000</v>
      </c>
    </row>
    <row r="41">
      <c r="A41" s="14">
        <f>IFERROR(__xludf.DUMMYFUNCTION("""COMPUTED_VALUE"""),40.0)</f>
        <v>40</v>
      </c>
      <c r="B41" s="19" t="str">
        <f>IFERROR(__xludf.DUMMYFUNCTION("""COMPUTED_VALUE"""),"https://imagizer.imageshack.com/img922/594/0rmEH4.jpg")</f>
        <v>https://imagizer.imageshack.com/img922/594/0rmEH4.jpg</v>
      </c>
      <c r="C41" s="16" t="str">
        <f>IFERROR(__xludf.DUMMYFUNCTION("""COMPUTED_VALUE"""),"Куринные рулеты")</f>
        <v>Куринные рулеты</v>
      </c>
      <c r="D41" s="16" t="str">
        <f>IFERROR(__xludf.DUMMYFUNCTION("""COMPUTED_VALUE"""),"Индюшиные шарики")</f>
        <v>Индюшиные шарики</v>
      </c>
      <c r="E41" s="16" t="str">
        <f>IFERROR(__xludf.DUMMYFUNCTION("""COMPUTED_VALUE"""),"Kurka sharik")</f>
        <v>Kurka sharik</v>
      </c>
      <c r="F41" s="15" t="str">
        <f>IFERROR(__xludf.DUMMYFUNCTION("""COMPUTED_VALUE"""),"кг")</f>
        <v>кг</v>
      </c>
      <c r="G41" s="16"/>
      <c r="H41" s="16">
        <f>IFERROR(__xludf.DUMMYFUNCTION("""COMPUTED_VALUE"""),130000.0)</f>
        <v>130000</v>
      </c>
    </row>
    <row r="42">
      <c r="A42" s="14">
        <f>IFERROR(__xludf.DUMMYFUNCTION("""COMPUTED_VALUE"""),41.0)</f>
        <v>41</v>
      </c>
      <c r="B42" s="19" t="str">
        <f>IFERROR(__xludf.DUMMYFUNCTION("""COMPUTED_VALUE"""),"https://imagizer.imageshack.com/img923/3875/n8YQPL.png")</f>
        <v>https://imagizer.imageshack.com/img923/3875/n8YQPL.png</v>
      </c>
      <c r="C42" s="16" t="str">
        <f>IFERROR(__xludf.DUMMYFUNCTION("""COMPUTED_VALUE"""),"Куринные рулеты")</f>
        <v>Куринные рулеты</v>
      </c>
      <c r="D42" s="16" t="str">
        <f>IFERROR(__xludf.DUMMYFUNCTION("""COMPUTED_VALUE"""),"Копчёное индюшиное филе")</f>
        <v>Копчёное индюшиное филе</v>
      </c>
      <c r="E42" s="16" t="str">
        <f>IFERROR(__xludf.DUMMYFUNCTION("""COMPUTED_VALUE"""),"Kurka file dudlangan")</f>
        <v>Kurka file dudlangan</v>
      </c>
      <c r="F42" s="15" t="str">
        <f>IFERROR(__xludf.DUMMYFUNCTION("""COMPUTED_VALUE"""),"кг")</f>
        <v>кг</v>
      </c>
      <c r="G42" s="16"/>
      <c r="H42" s="16">
        <f>IFERROR(__xludf.DUMMYFUNCTION("""COMPUTED_VALUE"""),155000.0)</f>
        <v>155000</v>
      </c>
    </row>
    <row r="43">
      <c r="A43" s="14">
        <f>IFERROR(__xludf.DUMMYFUNCTION("""COMPUTED_VALUE"""),42.0)</f>
        <v>42</v>
      </c>
      <c r="B43" s="19" t="str">
        <f>IFERROR(__xludf.DUMMYFUNCTION("""COMPUTED_VALUE"""),"https://imagizer.imageshack.com/img922/9053/hrqfcF.jpg")</f>
        <v>https://imagizer.imageshack.com/img922/9053/hrqfcF.jpg</v>
      </c>
      <c r="C43" s="16" t="str">
        <f>IFERROR(__xludf.DUMMYFUNCTION("""COMPUTED_VALUE"""),"Куринные рулеты")</f>
        <v>Куринные рулеты</v>
      </c>
      <c r="D43" s="16" t="str">
        <f>IFERROR(__xludf.DUMMYFUNCTION("""COMPUTED_VALUE"""),"Копчёная индейка")</f>
        <v>Копчёная индейка</v>
      </c>
      <c r="E43" s="16" t="str">
        <f>IFERROR(__xludf.DUMMYFUNCTION("""COMPUTED_VALUE"""),"Kurka dudlangan")</f>
        <v>Kurka dudlangan</v>
      </c>
      <c r="F43" s="15" t="str">
        <f>IFERROR(__xludf.DUMMYFUNCTION("""COMPUTED_VALUE"""),"кг")</f>
        <v>кг</v>
      </c>
      <c r="G43" s="16"/>
      <c r="H43" s="16">
        <f>IFERROR(__xludf.DUMMYFUNCTION("""COMPUTED_VALUE"""),130000.0)</f>
        <v>130000</v>
      </c>
    </row>
    <row r="44">
      <c r="A44" s="14">
        <f>IFERROR(__xludf.DUMMYFUNCTION("""COMPUTED_VALUE"""),43.0)</f>
        <v>43</v>
      </c>
      <c r="B44" s="19" t="str">
        <f>IFERROR(__xludf.DUMMYFUNCTION("""COMPUTED_VALUE"""),"https://imagizer.imageshack.com/img924/3397/pAmdNG.jpg")</f>
        <v>https://imagizer.imageshack.com/img924/3397/pAmdNG.jpg</v>
      </c>
      <c r="C44" s="16" t="str">
        <f>IFERROR(__xludf.DUMMYFUNCTION("""COMPUTED_VALUE"""),"Куринные рулеты")</f>
        <v>Куринные рулеты</v>
      </c>
      <c r="D44" s="16" t="str">
        <f>IFERROR(__xludf.DUMMYFUNCTION("""COMPUTED_VALUE"""),"Копчёная курица")</f>
        <v>Копчёная курица</v>
      </c>
      <c r="E44" s="16" t="str">
        <f>IFERROR(__xludf.DUMMYFUNCTION("""COMPUTED_VALUE"""),"Tovuq dudlangan semiz")</f>
        <v>Tovuq dudlangan semiz</v>
      </c>
      <c r="F44" s="15" t="str">
        <f>IFERROR(__xludf.DUMMYFUNCTION("""COMPUTED_VALUE"""),"кг")</f>
        <v>кг</v>
      </c>
      <c r="G44" s="16"/>
      <c r="H44" s="16">
        <f>IFERROR(__xludf.DUMMYFUNCTION("""COMPUTED_VALUE"""),95000.0)</f>
        <v>95000</v>
      </c>
    </row>
    <row r="45">
      <c r="A45" s="14">
        <f>IFERROR(__xludf.DUMMYFUNCTION("""COMPUTED_VALUE"""),44.0)</f>
        <v>44</v>
      </c>
      <c r="B45" s="19" t="str">
        <f>IFERROR(__xludf.DUMMYFUNCTION("""COMPUTED_VALUE"""),"https://imagizer.imageshack.com/img924/380/UoCeO3.png")</f>
        <v>https://imagizer.imageshack.com/img924/380/UoCeO3.png</v>
      </c>
      <c r="C45" s="16" t="str">
        <f>IFERROR(__xludf.DUMMYFUNCTION("""COMPUTED_VALUE"""),"Куринные рулеты")</f>
        <v>Куринные рулеты</v>
      </c>
      <c r="D45" s="16" t="str">
        <f>IFERROR(__xludf.DUMMYFUNCTION("""COMPUTED_VALUE"""),"Куриной рулет тандыр")</f>
        <v>Куриной рулет тандыр</v>
      </c>
      <c r="E45" s="16" t="str">
        <f>IFERROR(__xludf.DUMMYFUNCTION("""COMPUTED_VALUE"""),"Tovuq tandir rulet")</f>
        <v>Tovuq tandir rulet</v>
      </c>
      <c r="F45" s="15" t="str">
        <f>IFERROR(__xludf.DUMMYFUNCTION("""COMPUTED_VALUE"""),"кг")</f>
        <v>кг</v>
      </c>
      <c r="G45" s="16"/>
      <c r="H45" s="16">
        <f>IFERROR(__xludf.DUMMYFUNCTION("""COMPUTED_VALUE"""),115000.0)</f>
        <v>115000</v>
      </c>
    </row>
    <row r="46">
      <c r="A46" s="14">
        <f>IFERROR(__xludf.DUMMYFUNCTION("""COMPUTED_VALUE"""),45.0)</f>
        <v>45</v>
      </c>
      <c r="B46" s="19" t="str">
        <f>IFERROR(__xludf.DUMMYFUNCTION("""COMPUTED_VALUE"""),"https://imagizer.imageshack.com/img922/7213/acSQvl.jpg")</f>
        <v>https://imagizer.imageshack.com/img922/7213/acSQvl.jpg</v>
      </c>
      <c r="C46" s="16" t="str">
        <f>IFERROR(__xludf.DUMMYFUNCTION("""COMPUTED_VALUE"""),"Куринные рулеты")</f>
        <v>Куринные рулеты</v>
      </c>
      <c r="D46" s="16" t="str">
        <f>IFERROR(__xludf.DUMMYFUNCTION("""COMPUTED_VALUE"""),"Копчёная куриная «слитка»")</f>
        <v>Копчёная куриная «слитка»</v>
      </c>
      <c r="E46" s="16" t="str">
        <f>IFERROR(__xludf.DUMMYFUNCTION("""COMPUTED_VALUE"""),"Tovuq slitka dudlangan kg")</f>
        <v>Tovuq slitka dudlangan kg</v>
      </c>
      <c r="F46" s="15" t="str">
        <f>IFERROR(__xludf.DUMMYFUNCTION("""COMPUTED_VALUE"""),"кг")</f>
        <v>кг</v>
      </c>
      <c r="G46" s="16"/>
      <c r="H46" s="16">
        <f>IFERROR(__xludf.DUMMYFUNCTION("""COMPUTED_VALUE"""),90000.0)</f>
        <v>90000</v>
      </c>
    </row>
    <row r="47">
      <c r="A47" s="14">
        <f>IFERROR(__xludf.DUMMYFUNCTION("""COMPUTED_VALUE"""),46.0)</f>
        <v>46</v>
      </c>
      <c r="B47" s="19" t="str">
        <f>IFERROR(__xludf.DUMMYFUNCTION("""COMPUTED_VALUE"""),"https://imagizer.imageshack.com/img924/6697/NGtfDM.jpg")</f>
        <v>https://imagizer.imageshack.com/img924/6697/NGtfDM.jpg</v>
      </c>
      <c r="C47" s="16" t="str">
        <f>IFERROR(__xludf.DUMMYFUNCTION("""COMPUTED_VALUE"""),"Молочные продукты")</f>
        <v>Молочные продукты</v>
      </c>
      <c r="D47" s="16" t="str">
        <f>IFERROR(__xludf.DUMMYFUNCTION("""COMPUTED_VALUE"""),"Брынза полужирная, массовая доля жира 30%")</f>
        <v>Брынза полужирная, массовая доля жира 30%</v>
      </c>
      <c r="E47" s="16" t="str">
        <f>IFERROR(__xludf.DUMMYFUNCTION("""COMPUTED_VALUE"""),"Бринза полужирная мдж 30%")</f>
        <v>Бринза полужирная мдж 30%</v>
      </c>
      <c r="F47" s="15" t="str">
        <f>IFERROR(__xludf.DUMMYFUNCTION("""COMPUTED_VALUE"""),"кг")</f>
        <v>кг</v>
      </c>
      <c r="G47" s="16"/>
      <c r="H47" s="16">
        <f>IFERROR(__xludf.DUMMYFUNCTION("""COMPUTED_VALUE"""),75000.0)</f>
        <v>75000</v>
      </c>
    </row>
    <row r="48">
      <c r="A48" s="14">
        <f>IFERROR(__xludf.DUMMYFUNCTION("""COMPUTED_VALUE"""),47.0)</f>
        <v>47</v>
      </c>
      <c r="B48" s="19" t="str">
        <f>IFERROR(__xludf.DUMMYFUNCTION("""COMPUTED_VALUE"""),"https://i.postimg.cc/W49prL5w/Chat-GPT-Image-16-anv-2026-g-21-45-32.png")</f>
        <v>https://i.postimg.cc/W49prL5w/Chat-GPT-Image-16-anv-2026-g-21-45-32.png</v>
      </c>
      <c r="C48" s="16" t="str">
        <f>IFERROR(__xludf.DUMMYFUNCTION("""COMPUTED_VALUE"""),"Молочные продукты")</f>
        <v>Молочные продукты</v>
      </c>
      <c r="D48" s="16" t="str">
        <f>IFERROR(__xludf.DUMMYFUNCTION("""COMPUTED_VALUE"""),"Гауда фриндшип")</f>
        <v>Гауда фриндшип</v>
      </c>
      <c r="E48" s="16" t="str">
        <f>IFERROR(__xludf.DUMMYFUNCTION("""COMPUTED_VALUE"""),"Gauda friendship")</f>
        <v>Gauda friendship</v>
      </c>
      <c r="F48" s="15" t="str">
        <f>IFERROR(__xludf.DUMMYFUNCTION("""COMPUTED_VALUE"""),"кг")</f>
        <v>кг</v>
      </c>
      <c r="G48" s="16"/>
      <c r="H48" s="16">
        <f>IFERROR(__xludf.DUMMYFUNCTION("""COMPUTED_VALUE"""),140000.0)</f>
        <v>140000</v>
      </c>
    </row>
    <row r="49">
      <c r="A49" s="14">
        <f>IFERROR(__xludf.DUMMYFUNCTION("""COMPUTED_VALUE"""),48.0)</f>
        <v>48</v>
      </c>
      <c r="B49" s="19" t="str">
        <f>IFERROR(__xludf.DUMMYFUNCTION("""COMPUTED_VALUE"""),"https://i.postimg.cc/yxmqQQGb/d38449a9-649c-4985-baf9-58065bdcc862.jpg")</f>
        <v>https://i.postimg.cc/yxmqQQGb/d38449a9-649c-4985-baf9-58065bdcc862.jpg</v>
      </c>
      <c r="C49" s="16" t="str">
        <f>IFERROR(__xludf.DUMMYFUNCTION("""COMPUTED_VALUE"""),"Молочные продукты")</f>
        <v>Молочные продукты</v>
      </c>
      <c r="D49" s="16" t="str">
        <f>IFERROR(__xludf.DUMMYFUNCTION("""COMPUTED_VALUE"""),"Сыр полутвердый ""Брест-Литовск Финский 45% 200гр")</f>
        <v>Сыр полутвердый "Брест-Литовск Финский 45% 200гр</v>
      </c>
      <c r="E49" s="16" t="str">
        <f>IFERROR(__xludf.DUMMYFUNCTION("""COMPUTED_VALUE"""),"Sir yarimqatiq ""Brest-Litovsk Finskiy 45% 200gr")</f>
        <v>Sir yarimqatiq "Brest-Litovsk Finskiy 45% 200gr</v>
      </c>
      <c r="F49" s="15" t="str">
        <f>IFERROR(__xludf.DUMMYFUNCTION("""COMPUTED_VALUE"""),"шт")</f>
        <v>шт</v>
      </c>
      <c r="G49" s="16"/>
      <c r="H49" s="16">
        <f>IFERROR(__xludf.DUMMYFUNCTION("""COMPUTED_VALUE"""),35000.0)</f>
        <v>35000</v>
      </c>
    </row>
    <row r="50">
      <c r="A50" s="14">
        <f>IFERROR(__xludf.DUMMYFUNCTION("""COMPUTED_VALUE"""),49.0)</f>
        <v>49</v>
      </c>
      <c r="B50" s="19" t="str">
        <f>IFERROR(__xludf.DUMMYFUNCTION("""COMPUTED_VALUE"""),"https://i.postimg.cc/v8cJR81c/74467a55-4574-4bf1-895c-aeabfc702c62.jpg")</f>
        <v>https://i.postimg.cc/v8cJR81c/74467a55-4574-4bf1-895c-aeabfc702c62.jpg</v>
      </c>
      <c r="C50" s="16" t="str">
        <f>IFERROR(__xludf.DUMMYFUNCTION("""COMPUTED_VALUE"""),"Молочные продукты")</f>
        <v>Молочные продукты</v>
      </c>
      <c r="D50" s="16" t="str">
        <f>IFERROR(__xludf.DUMMYFUNCTION("""COMPUTED_VALUE"""),"Сливки Сваля")</f>
        <v>Сливки Сваля</v>
      </c>
      <c r="E50" s="16" t="str">
        <f>IFERROR(__xludf.DUMMYFUNCTION("""COMPUTED_VALUE"""),"Svalya Qaymoq ")</f>
        <v>Svalya Qaymoq </v>
      </c>
      <c r="F50" s="15" t="str">
        <f>IFERROR(__xludf.DUMMYFUNCTION("""COMPUTED_VALUE"""),"шт")</f>
        <v>шт</v>
      </c>
      <c r="G50" s="16"/>
      <c r="H50" s="16">
        <f>IFERROR(__xludf.DUMMYFUNCTION("""COMPUTED_VALUE"""),20000.0)</f>
        <v>20000</v>
      </c>
    </row>
    <row r="51">
      <c r="A51" s="14">
        <f>IFERROR(__xludf.DUMMYFUNCTION("""COMPUTED_VALUE"""),50.0)</f>
        <v>50</v>
      </c>
      <c r="B51" s="19" t="str">
        <f>IFERROR(__xludf.DUMMYFUNCTION("""COMPUTED_VALUE"""),"https://i.postimg.cc/nzQND0fV/0a7e5493-5380-4fc6-ada5-bbe63f2a3be1.jpg")</f>
        <v>https://i.postimg.cc/nzQND0fV/0a7e5493-5380-4fc6-ada5-bbe63f2a3be1.jpg</v>
      </c>
      <c r="C51" s="16" t="str">
        <f>IFERROR(__xludf.DUMMYFUNCTION("""COMPUTED_VALUE"""),"Молочные продукты")</f>
        <v>Молочные продукты</v>
      </c>
      <c r="D51" s="16" t="str">
        <f>IFERROR(__xludf.DUMMYFUNCTION("""COMPUTED_VALUE"""),"Сваля Слывочное масло 1кг")</f>
        <v>Сваля Слывочное масло 1кг</v>
      </c>
      <c r="E51" s="16" t="str">
        <f>IFERROR(__xludf.DUMMYFUNCTION("""COMPUTED_VALUE"""),"Svalya saryog' 1kg")</f>
        <v>Svalya saryog' 1kg</v>
      </c>
      <c r="F51" s="15" t="str">
        <f>IFERROR(__xludf.DUMMYFUNCTION("""COMPUTED_VALUE"""),"шт")</f>
        <v>шт</v>
      </c>
      <c r="G51" s="16"/>
      <c r="H51" s="16">
        <f>IFERROR(__xludf.DUMMYFUNCTION("""COMPUTED_VALUE"""),180000.0)</f>
        <v>180000</v>
      </c>
    </row>
    <row r="52">
      <c r="A52" s="14">
        <f>IFERROR(__xludf.DUMMYFUNCTION("""COMPUTED_VALUE"""),51.0)</f>
        <v>51</v>
      </c>
      <c r="B52" s="19" t="str">
        <f>IFERROR(__xludf.DUMMYFUNCTION("""COMPUTED_VALUE"""),"https://i.postimg.cc/vTQP8sMS/c01a8a4a-38f4-4fb1-8265-2e68b5d7f2e6.jpg")</f>
        <v>https://i.postimg.cc/vTQP8sMS/c01a8a4a-38f4-4fb1-8265-2e68b5d7f2e6.jpg</v>
      </c>
      <c r="C52" s="16" t="str">
        <f>IFERROR(__xludf.DUMMYFUNCTION("""COMPUTED_VALUE"""),"Молочные продукты")</f>
        <v>Молочные продукты</v>
      </c>
      <c r="D52" s="16" t="str">
        <f>IFERROR(__xludf.DUMMYFUNCTION("""COMPUTED_VALUE"""),"Домашный слывочное масло")</f>
        <v>Домашный слывочное масло</v>
      </c>
      <c r="E52" s="16" t="str">
        <f>IFERROR(__xludf.DUMMYFUNCTION("""COMPUTED_VALUE"""),"Domashni saryog'")</f>
        <v>Domashni saryog'</v>
      </c>
      <c r="F52" s="15" t="str">
        <f>IFERROR(__xludf.DUMMYFUNCTION("""COMPUTED_VALUE"""),"кг")</f>
        <v>кг</v>
      </c>
      <c r="G52" s="16"/>
      <c r="H52" s="16">
        <f>IFERROR(__xludf.DUMMYFUNCTION("""COMPUTED_VALUE"""),95000.0)</f>
        <v>95000</v>
      </c>
    </row>
    <row r="53">
      <c r="A53" s="14">
        <f>IFERROR(__xludf.DUMMYFUNCTION("""COMPUTED_VALUE"""),52.0)</f>
        <v>52</v>
      </c>
      <c r="B53" s="19" t="str">
        <f>IFERROR(__xludf.DUMMYFUNCTION("""COMPUTED_VALUE"""),"https://i.postimg.cc/kMQFM4jw/goroden.jpg")</f>
        <v>https://i.postimg.cc/kMQFM4jw/goroden.jpg</v>
      </c>
      <c r="C53" s="16" t="str">
        <f>IFERROR(__xludf.DUMMYFUNCTION("""COMPUTED_VALUE"""),"Молочные продукты")</f>
        <v>Молочные продукты</v>
      </c>
      <c r="D53" s="16" t="str">
        <f>IFERROR(__xludf.DUMMYFUNCTION("""COMPUTED_VALUE"""),"Городен сливочное масло 82.5% 1кг")</f>
        <v>Городен сливочное масло 82.5% 1кг</v>
      </c>
      <c r="E53" s="16" t="str">
        <f>IFERROR(__xludf.DUMMYFUNCTION("""COMPUTED_VALUE"""),"Goroden saryog'i qaymoqli 82.5%, 1 kg")</f>
        <v>Goroden saryog'i qaymoqli 82.5%, 1 kg</v>
      </c>
      <c r="F53" s="15" t="str">
        <f>IFERROR(__xludf.DUMMYFUNCTION("""COMPUTED_VALUE"""),"кг")</f>
        <v>кг</v>
      </c>
      <c r="G53" s="16"/>
      <c r="H53" s="16">
        <f>IFERROR(__xludf.DUMMYFUNCTION("""COMPUTED_VALUE"""),150000.0)</f>
        <v>150000</v>
      </c>
    </row>
    <row r="54">
      <c r="A54" s="14">
        <f>IFERROR(__xludf.DUMMYFUNCTION("""COMPUTED_VALUE"""),53.0)</f>
        <v>53</v>
      </c>
      <c r="B54" s="19" t="str">
        <f>IFERROR(__xludf.DUMMYFUNCTION("""COMPUTED_VALUE"""),"https://i.postimg.cc/7LSdx4jw/c5149eb7-a25a-4273-91d0-1566f82aac0b.jpg")</f>
        <v>https://i.postimg.cc/7LSdx4jw/c5149eb7-a25a-4273-91d0-1566f82aac0b.jpg</v>
      </c>
      <c r="C54" s="16" t="str">
        <f>IFERROR(__xludf.DUMMYFUNCTION("""COMPUTED_VALUE"""),"Молочные продукты")</f>
        <v>Молочные продукты</v>
      </c>
      <c r="D54" s="16" t="str">
        <f>IFERROR(__xludf.DUMMYFUNCTION("""COMPUTED_VALUE"""),"Хохланд слывочный сыр 200гр")</f>
        <v>Хохланд слывочный сыр 200гр</v>
      </c>
      <c r="E54" s="16" t="str">
        <f>IFERROR(__xludf.DUMMYFUNCTION("""COMPUTED_VALUE"""),"Hochland slivochniy sir 200gr")</f>
        <v>Hochland slivochniy sir 200gr</v>
      </c>
      <c r="F54" s="15" t="str">
        <f>IFERROR(__xludf.DUMMYFUNCTION("""COMPUTED_VALUE"""),"шт")</f>
        <v>шт</v>
      </c>
      <c r="G54" s="16"/>
      <c r="H54" s="16">
        <f>IFERROR(__xludf.DUMMYFUNCTION("""COMPUTED_VALUE"""),37000.0)</f>
        <v>37000</v>
      </c>
    </row>
    <row r="55">
      <c r="A55" s="14">
        <f>IFERROR(__xludf.DUMMYFUNCTION("""COMPUTED_VALUE"""),54.0)</f>
        <v>54</v>
      </c>
      <c r="B55" s="16"/>
      <c r="C55" s="16" t="str">
        <f>IFERROR(__xludf.DUMMYFUNCTION("""COMPUTED_VALUE"""),"Молочные продукты")</f>
        <v>Молочные продукты</v>
      </c>
      <c r="D55" s="16" t="str">
        <f>IFERROR(__xludf.DUMMYFUNCTION("""COMPUTED_VALUE"""),"Дурда")</f>
        <v>Дурда</v>
      </c>
      <c r="E55" s="16" t="str">
        <f>IFERROR(__xludf.DUMMYFUNCTION("""COMPUTED_VALUE"""),"Durda")</f>
        <v>Durda</v>
      </c>
      <c r="F55" s="15" t="str">
        <f>IFERROR(__xludf.DUMMYFUNCTION("""COMPUTED_VALUE"""),"шт")</f>
        <v>шт</v>
      </c>
      <c r="G55" s="16"/>
      <c r="H55" s="16">
        <f>IFERROR(__xludf.DUMMYFUNCTION("""COMPUTED_VALUE"""),25000.0)</f>
        <v>25000</v>
      </c>
    </row>
    <row r="56">
      <c r="A56" s="14">
        <f>IFERROR(__xludf.DUMMYFUNCTION("""COMPUTED_VALUE"""),55.0)</f>
        <v>55</v>
      </c>
      <c r="B56" s="16"/>
      <c r="C56" s="16" t="str">
        <f>IFERROR(__xludf.DUMMYFUNCTION("""COMPUTED_VALUE"""),"Молочные продукты")</f>
        <v>Молочные продукты</v>
      </c>
      <c r="D56" s="16" t="str">
        <f>IFERROR(__xludf.DUMMYFUNCTION("""COMPUTED_VALUE"""),"Топлённый масло")</f>
        <v>Топлённый масло</v>
      </c>
      <c r="E56" s="16" t="str">
        <f>IFERROR(__xludf.DUMMYFUNCTION("""COMPUTED_VALUE"""),"Toplyonniy saryog'")</f>
        <v>Toplyonniy saryog'</v>
      </c>
      <c r="F56" s="15" t="str">
        <f>IFERROR(__xludf.DUMMYFUNCTION("""COMPUTED_VALUE"""),"шт")</f>
        <v>шт</v>
      </c>
      <c r="G56" s="16"/>
      <c r="H56" s="16">
        <f>IFERROR(__xludf.DUMMYFUNCTION("""COMPUTED_VALUE"""),30000.0)</f>
        <v>30000</v>
      </c>
    </row>
    <row r="57">
      <c r="A57" s="14">
        <f>IFERROR(__xludf.DUMMYFUNCTION("""COMPUTED_VALUE"""),56.0)</f>
        <v>56</v>
      </c>
      <c r="B57" s="16"/>
      <c r="C57" s="16" t="str">
        <f>IFERROR(__xludf.DUMMYFUNCTION("""COMPUTED_VALUE"""),"Молочные продукты")</f>
        <v>Молочные продукты</v>
      </c>
      <c r="D57" s="16" t="str">
        <f>IFERROR(__xludf.DUMMYFUNCTION("""COMPUTED_VALUE"""),"Кислое молоко Келес")</f>
        <v>Кислое молоко Келес</v>
      </c>
      <c r="E57" s="16" t="str">
        <f>IFERROR(__xludf.DUMMYFUNCTION("""COMPUTED_VALUE"""),"Qatiq keles")</f>
        <v>Qatiq keles</v>
      </c>
      <c r="F57" s="15" t="str">
        <f>IFERROR(__xludf.DUMMYFUNCTION("""COMPUTED_VALUE"""),"шт")</f>
        <v>шт</v>
      </c>
      <c r="G57" s="16"/>
      <c r="H57" s="16">
        <f>IFERROR(__xludf.DUMMYFUNCTION("""COMPUTED_VALUE"""),15000.0)</f>
        <v>15000</v>
      </c>
    </row>
    <row r="58">
      <c r="A58" s="14">
        <f>IFERROR(__xludf.DUMMYFUNCTION("""COMPUTED_VALUE"""),57.0)</f>
        <v>57</v>
      </c>
      <c r="B58" s="16"/>
      <c r="C58" s="16" t="str">
        <f>IFERROR(__xludf.DUMMYFUNCTION("""COMPUTED_VALUE"""),"Молочные продукты")</f>
        <v>Молочные продукты</v>
      </c>
      <c r="D58" s="16" t="str">
        <f>IFERROR(__xludf.DUMMYFUNCTION("""COMPUTED_VALUE"""),"Сливки Кукча")</f>
        <v>Сливки Кукча</v>
      </c>
      <c r="E58" s="16" t="str">
        <f>IFERROR(__xludf.DUMMYFUNCTION("""COMPUTED_VALUE"""),"Qaymoq Ko'kcha")</f>
        <v>Qaymoq Ko'kcha</v>
      </c>
      <c r="F58" s="15" t="str">
        <f>IFERROR(__xludf.DUMMYFUNCTION("""COMPUTED_VALUE"""),"шт")</f>
        <v>шт</v>
      </c>
      <c r="G58" s="16"/>
      <c r="H58" s="16">
        <f>IFERROR(__xludf.DUMMYFUNCTION("""COMPUTED_VALUE"""),43000.0)</f>
        <v>43000</v>
      </c>
    </row>
    <row r="59">
      <c r="A59" s="14">
        <f>IFERROR(__xludf.DUMMYFUNCTION("""COMPUTED_VALUE"""),58.0)</f>
        <v>58</v>
      </c>
      <c r="B59" s="16"/>
      <c r="C59" s="16" t="str">
        <f>IFERROR(__xludf.DUMMYFUNCTION("""COMPUTED_VALUE"""),"Молочные продукты")</f>
        <v>Молочные продукты</v>
      </c>
      <c r="D59" s="16" t="str">
        <f>IFERROR(__xludf.DUMMYFUNCTION("""COMPUTED_VALUE"""),"Домашный молоко")</f>
        <v>Домашный молоко</v>
      </c>
      <c r="E59" s="16" t="str">
        <f>IFERROR(__xludf.DUMMYFUNCTION("""COMPUTED_VALUE"""),"Sut uy")</f>
        <v>Sut uy</v>
      </c>
      <c r="F59" s="15" t="str">
        <f>IFERROR(__xludf.DUMMYFUNCTION("""COMPUTED_VALUE"""),"шт")</f>
        <v>шт</v>
      </c>
      <c r="G59" s="16"/>
      <c r="H59" s="16">
        <f>IFERROR(__xludf.DUMMYFUNCTION("""COMPUTED_VALUE"""),15000.0)</f>
        <v>15000</v>
      </c>
    </row>
    <row r="60">
      <c r="A60" s="14">
        <f>IFERROR(__xludf.DUMMYFUNCTION("""COMPUTED_VALUE"""),59.0)</f>
        <v>59</v>
      </c>
      <c r="B60" s="16"/>
      <c r="C60" s="16" t="str">
        <f>IFERROR(__xludf.DUMMYFUNCTION("""COMPUTED_VALUE"""),"Молочные продукты")</f>
        <v>Молочные продукты</v>
      </c>
      <c r="D60" s="16" t="str">
        <f>IFERROR(__xludf.DUMMYFUNCTION("""COMPUTED_VALUE"""),"Ряженка")</f>
        <v>Ряженка</v>
      </c>
      <c r="E60" s="16" t="str">
        <f>IFERROR(__xludf.DUMMYFUNCTION("""COMPUTED_VALUE"""),"Ryajenka")</f>
        <v>Ryajenka</v>
      </c>
      <c r="F60" s="15" t="str">
        <f>IFERROR(__xludf.DUMMYFUNCTION("""COMPUTED_VALUE"""),"шт")</f>
        <v>шт</v>
      </c>
      <c r="G60" s="16"/>
      <c r="H60" s="16">
        <f>IFERROR(__xludf.DUMMYFUNCTION("""COMPUTED_VALUE"""),50000.0)</f>
        <v>50000</v>
      </c>
    </row>
    <row r="61">
      <c r="A61" s="14" t="str">
        <f>IFERROR(__xludf.DUMMYFUNCTION("""COMPUTED_VALUE"""),"")</f>
        <v/>
      </c>
      <c r="B61" s="16"/>
      <c r="C61" s="16"/>
      <c r="D61" s="16"/>
      <c r="E61" s="16"/>
      <c r="F61" s="16"/>
      <c r="G61" s="16"/>
      <c r="H61" s="16"/>
    </row>
    <row r="62">
      <c r="A62" s="14" t="str">
        <f>IFERROR(__xludf.DUMMYFUNCTION("""COMPUTED_VALUE"""),"")</f>
        <v/>
      </c>
      <c r="B62" s="16"/>
      <c r="C62" s="16"/>
      <c r="D62" s="16"/>
      <c r="E62" s="16"/>
      <c r="F62" s="16"/>
      <c r="G62" s="16"/>
      <c r="H62" s="16"/>
    </row>
    <row r="63">
      <c r="A63" s="14" t="str">
        <f>IFERROR(__xludf.DUMMYFUNCTION("""COMPUTED_VALUE"""),"")</f>
        <v/>
      </c>
      <c r="B63" s="16"/>
      <c r="C63" s="16"/>
      <c r="D63" s="16"/>
      <c r="E63" s="16"/>
      <c r="F63" s="16"/>
      <c r="G63" s="16"/>
      <c r="H63" s="16"/>
    </row>
    <row r="64">
      <c r="A64" s="14" t="str">
        <f>IFERROR(__xludf.DUMMYFUNCTION("""COMPUTED_VALUE"""),"")</f>
        <v/>
      </c>
      <c r="B64" s="16"/>
      <c r="C64" s="16"/>
      <c r="D64" s="16"/>
      <c r="E64" s="16"/>
      <c r="F64" s="16"/>
      <c r="G64" s="16"/>
      <c r="H64" s="16"/>
    </row>
    <row r="65">
      <c r="A65" s="14" t="str">
        <f>IFERROR(__xludf.DUMMYFUNCTION("""COMPUTED_VALUE"""),"")</f>
        <v/>
      </c>
      <c r="B65" s="16"/>
      <c r="C65" s="16"/>
      <c r="D65" s="16"/>
      <c r="E65" s="16"/>
      <c r="F65" s="16"/>
      <c r="G65" s="16"/>
      <c r="H65" s="16"/>
    </row>
    <row r="66">
      <c r="A66" s="14" t="str">
        <f>IFERROR(__xludf.DUMMYFUNCTION("""COMPUTED_VALUE"""),"")</f>
        <v/>
      </c>
      <c r="B66" s="16"/>
      <c r="C66" s="16"/>
      <c r="D66" s="16"/>
      <c r="E66" s="16"/>
      <c r="F66" s="16"/>
      <c r="G66" s="16"/>
      <c r="H66" s="16"/>
    </row>
    <row r="67">
      <c r="A67" s="14" t="str">
        <f>IFERROR(__xludf.DUMMYFUNCTION("""COMPUTED_VALUE"""),"")</f>
        <v/>
      </c>
      <c r="B67" s="16"/>
      <c r="C67" s="16"/>
      <c r="D67" s="16"/>
      <c r="E67" s="16"/>
      <c r="F67" s="16"/>
      <c r="G67" s="16"/>
      <c r="H67" s="16"/>
    </row>
    <row r="68">
      <c r="A68" s="14" t="str">
        <f>IFERROR(__xludf.DUMMYFUNCTION("""COMPUTED_VALUE"""),"")</f>
        <v/>
      </c>
      <c r="B68" s="16"/>
      <c r="C68" s="16"/>
      <c r="D68" s="16"/>
      <c r="E68" s="16"/>
      <c r="F68" s="16"/>
      <c r="G68" s="16"/>
      <c r="H68" s="16"/>
    </row>
    <row r="69">
      <c r="A69" s="14" t="str">
        <f>IFERROR(__xludf.DUMMYFUNCTION("""COMPUTED_VALUE"""),"")</f>
        <v/>
      </c>
      <c r="B69" s="16"/>
      <c r="C69" s="16"/>
      <c r="D69" s="16"/>
      <c r="E69" s="16"/>
      <c r="F69" s="16"/>
      <c r="G69" s="16"/>
      <c r="H69" s="16"/>
    </row>
    <row r="70">
      <c r="A70" s="14" t="str">
        <f>IFERROR(__xludf.DUMMYFUNCTION("""COMPUTED_VALUE"""),"")</f>
        <v/>
      </c>
      <c r="B70" s="16"/>
      <c r="C70" s="16"/>
      <c r="D70" s="16"/>
      <c r="E70" s="16"/>
      <c r="F70" s="16"/>
      <c r="G70" s="16"/>
      <c r="H70" s="16"/>
    </row>
    <row r="71">
      <c r="A71" s="14" t="str">
        <f>IFERROR(__xludf.DUMMYFUNCTION("""COMPUTED_VALUE"""),"")</f>
        <v/>
      </c>
      <c r="B71" s="16"/>
      <c r="C71" s="16"/>
      <c r="D71" s="16"/>
      <c r="E71" s="16"/>
      <c r="F71" s="16"/>
      <c r="G71" s="16"/>
      <c r="H71" s="16"/>
    </row>
    <row r="72">
      <c r="A72" s="14" t="str">
        <f>IFERROR(__xludf.DUMMYFUNCTION("""COMPUTED_VALUE"""),"")</f>
        <v/>
      </c>
      <c r="B72" s="16"/>
      <c r="C72" s="16"/>
      <c r="D72" s="16"/>
      <c r="E72" s="16"/>
      <c r="F72" s="16"/>
      <c r="G72" s="16"/>
      <c r="H72" s="16"/>
    </row>
    <row r="73">
      <c r="A73" s="14" t="str">
        <f>IFERROR(__xludf.DUMMYFUNCTION("""COMPUTED_VALUE"""),"")</f>
        <v/>
      </c>
      <c r="B73" s="16"/>
      <c r="C73" s="16"/>
      <c r="D73" s="16"/>
      <c r="E73" s="16"/>
      <c r="F73" s="16"/>
      <c r="G73" s="16"/>
      <c r="H73" s="16"/>
    </row>
    <row r="74">
      <c r="A74" s="14" t="str">
        <f>IFERROR(__xludf.DUMMYFUNCTION("""COMPUTED_VALUE"""),"")</f>
        <v/>
      </c>
      <c r="B74" s="16"/>
      <c r="C74" s="16"/>
      <c r="D74" s="16"/>
      <c r="E74" s="16"/>
      <c r="F74" s="16"/>
      <c r="G74" s="16"/>
      <c r="H74" s="16"/>
    </row>
    <row r="75">
      <c r="A75" s="14" t="str">
        <f>IFERROR(__xludf.DUMMYFUNCTION("""COMPUTED_VALUE"""),"")</f>
        <v/>
      </c>
      <c r="B75" s="16"/>
      <c r="C75" s="16"/>
      <c r="D75" s="16"/>
      <c r="E75" s="16"/>
      <c r="F75" s="16"/>
      <c r="G75" s="16"/>
      <c r="H75" s="16"/>
    </row>
    <row r="76">
      <c r="A76" s="14" t="str">
        <f>IFERROR(__xludf.DUMMYFUNCTION("""COMPUTED_VALUE"""),"")</f>
        <v/>
      </c>
      <c r="B76" s="16"/>
      <c r="C76" s="16"/>
      <c r="D76" s="16"/>
      <c r="E76" s="16"/>
      <c r="F76" s="16"/>
      <c r="G76" s="16"/>
      <c r="H76" s="16"/>
    </row>
    <row r="77">
      <c r="A77" s="14" t="str">
        <f>IFERROR(__xludf.DUMMYFUNCTION("""COMPUTED_VALUE"""),"")</f>
        <v/>
      </c>
      <c r="B77" s="16"/>
      <c r="C77" s="16"/>
      <c r="D77" s="16"/>
      <c r="E77" s="16"/>
      <c r="F77" s="16"/>
      <c r="G77" s="16"/>
      <c r="H77" s="16"/>
    </row>
    <row r="78">
      <c r="A78" s="14" t="str">
        <f>IFERROR(__xludf.DUMMYFUNCTION("""COMPUTED_VALUE"""),"")</f>
        <v/>
      </c>
      <c r="B78" s="16"/>
      <c r="C78" s="16"/>
      <c r="D78" s="16"/>
      <c r="E78" s="16"/>
      <c r="F78" s="16"/>
      <c r="G78" s="16"/>
      <c r="H78" s="16"/>
    </row>
    <row r="79">
      <c r="A79" s="14" t="str">
        <f>IFERROR(__xludf.DUMMYFUNCTION("""COMPUTED_VALUE"""),"")</f>
        <v/>
      </c>
      <c r="B79" s="16"/>
      <c r="C79" s="16"/>
      <c r="D79" s="16"/>
      <c r="E79" s="16"/>
      <c r="F79" s="16"/>
      <c r="G79" s="16"/>
      <c r="H79" s="16"/>
    </row>
    <row r="80">
      <c r="A80" s="14" t="str">
        <f>IFERROR(__xludf.DUMMYFUNCTION("""COMPUTED_VALUE"""),"")</f>
        <v/>
      </c>
      <c r="B80" s="16"/>
      <c r="C80" s="16"/>
      <c r="D80" s="16"/>
      <c r="E80" s="16"/>
      <c r="F80" s="16"/>
      <c r="G80" s="16"/>
      <c r="H80" s="16"/>
    </row>
    <row r="81">
      <c r="A81" s="14" t="str">
        <f>IFERROR(__xludf.DUMMYFUNCTION("""COMPUTED_VALUE"""),"")</f>
        <v/>
      </c>
      <c r="B81" s="16"/>
      <c r="C81" s="16"/>
      <c r="D81" s="16"/>
      <c r="E81" s="16"/>
      <c r="F81" s="16"/>
      <c r="G81" s="16"/>
      <c r="H81" s="16"/>
    </row>
    <row r="82">
      <c r="A82" s="14" t="str">
        <f>IFERROR(__xludf.DUMMYFUNCTION("""COMPUTED_VALUE"""),"")</f>
        <v/>
      </c>
      <c r="B82" s="16"/>
      <c r="C82" s="16"/>
      <c r="D82" s="16"/>
      <c r="E82" s="16"/>
      <c r="F82" s="16"/>
      <c r="G82" s="16"/>
      <c r="H82" s="16"/>
    </row>
    <row r="83">
      <c r="A83" s="14" t="str">
        <f>IFERROR(__xludf.DUMMYFUNCTION("""COMPUTED_VALUE"""),"")</f>
        <v/>
      </c>
      <c r="B83" s="16"/>
      <c r="C83" s="16"/>
      <c r="D83" s="16"/>
      <c r="E83" s="16"/>
      <c r="F83" s="16"/>
      <c r="G83" s="16"/>
      <c r="H83" s="16"/>
    </row>
    <row r="84">
      <c r="A84" s="14" t="str">
        <f>IFERROR(__xludf.DUMMYFUNCTION("""COMPUTED_VALUE"""),"")</f>
        <v/>
      </c>
      <c r="B84" s="16"/>
      <c r="C84" s="16"/>
      <c r="D84" s="16"/>
      <c r="E84" s="16"/>
      <c r="F84" s="16"/>
      <c r="G84" s="16"/>
      <c r="H84" s="16"/>
    </row>
    <row r="85">
      <c r="A85" s="14" t="str">
        <f>IFERROR(__xludf.DUMMYFUNCTION("""COMPUTED_VALUE"""),"")</f>
        <v/>
      </c>
      <c r="B85" s="16"/>
      <c r="C85" s="16"/>
      <c r="D85" s="16"/>
      <c r="E85" s="16"/>
      <c r="F85" s="16"/>
      <c r="G85" s="16"/>
      <c r="H85" s="16"/>
    </row>
    <row r="86">
      <c r="A86" s="14" t="str">
        <f>IFERROR(__xludf.DUMMYFUNCTION("""COMPUTED_VALUE"""),"")</f>
        <v/>
      </c>
      <c r="B86" s="16"/>
      <c r="C86" s="16"/>
      <c r="D86" s="16"/>
      <c r="E86" s="16"/>
      <c r="F86" s="16"/>
      <c r="G86" s="16"/>
      <c r="H86" s="16"/>
    </row>
    <row r="87">
      <c r="A87" s="14" t="str">
        <f>IFERROR(__xludf.DUMMYFUNCTION("""COMPUTED_VALUE"""),"")</f>
        <v/>
      </c>
      <c r="B87" s="16"/>
      <c r="C87" s="16"/>
      <c r="D87" s="16"/>
      <c r="E87" s="16"/>
      <c r="F87" s="16"/>
      <c r="G87" s="16"/>
      <c r="H87" s="16"/>
    </row>
    <row r="88">
      <c r="A88" s="14" t="str">
        <f>IFERROR(__xludf.DUMMYFUNCTION("""COMPUTED_VALUE"""),"")</f>
        <v/>
      </c>
      <c r="B88" s="16"/>
      <c r="C88" s="16"/>
      <c r="D88" s="16"/>
      <c r="E88" s="16"/>
      <c r="F88" s="16"/>
      <c r="G88" s="16"/>
      <c r="H88" s="16"/>
    </row>
    <row r="89">
      <c r="A89" s="14" t="str">
        <f>IFERROR(__xludf.DUMMYFUNCTION("""COMPUTED_VALUE"""),"")</f>
        <v/>
      </c>
      <c r="B89" s="16"/>
      <c r="C89" s="16"/>
      <c r="D89" s="16"/>
      <c r="E89" s="16"/>
      <c r="F89" s="16"/>
      <c r="G89" s="16"/>
      <c r="H89" s="16"/>
    </row>
    <row r="90">
      <c r="A90" s="14" t="str">
        <f>IFERROR(__xludf.DUMMYFUNCTION("""COMPUTED_VALUE"""),"")</f>
        <v/>
      </c>
      <c r="B90" s="16"/>
      <c r="C90" s="16"/>
      <c r="D90" s="16"/>
      <c r="E90" s="16"/>
      <c r="F90" s="16"/>
      <c r="G90" s="16"/>
      <c r="H90" s="16"/>
    </row>
    <row r="91">
      <c r="A91" s="14" t="str">
        <f>IFERROR(__xludf.DUMMYFUNCTION("""COMPUTED_VALUE"""),"")</f>
        <v/>
      </c>
      <c r="B91" s="16"/>
      <c r="C91" s="16"/>
      <c r="D91" s="16"/>
      <c r="E91" s="16"/>
      <c r="F91" s="16"/>
      <c r="G91" s="16"/>
      <c r="H91" s="16"/>
    </row>
    <row r="92">
      <c r="A92" s="14" t="str">
        <f>IFERROR(__xludf.DUMMYFUNCTION("""COMPUTED_VALUE"""),"")</f>
        <v/>
      </c>
      <c r="B92" s="16"/>
      <c r="C92" s="16"/>
      <c r="D92" s="16"/>
      <c r="E92" s="16"/>
      <c r="F92" s="16"/>
      <c r="G92" s="16"/>
      <c r="H92" s="16"/>
    </row>
    <row r="93">
      <c r="A93" s="14" t="str">
        <f>IFERROR(__xludf.DUMMYFUNCTION("""COMPUTED_VALUE"""),"")</f>
        <v/>
      </c>
      <c r="B93" s="16"/>
      <c r="C93" s="16"/>
      <c r="D93" s="16"/>
      <c r="E93" s="16"/>
      <c r="F93" s="16"/>
      <c r="G93" s="16"/>
      <c r="H93" s="16"/>
    </row>
    <row r="94">
      <c r="A94" s="14" t="str">
        <f>IFERROR(__xludf.DUMMYFUNCTION("""COMPUTED_VALUE"""),"")</f>
        <v/>
      </c>
      <c r="B94" s="16"/>
      <c r="C94" s="16"/>
      <c r="D94" s="16"/>
      <c r="E94" s="16"/>
      <c r="F94" s="16"/>
      <c r="G94" s="16"/>
      <c r="H94" s="16"/>
    </row>
    <row r="95">
      <c r="A95" s="14" t="str">
        <f>IFERROR(__xludf.DUMMYFUNCTION("""COMPUTED_VALUE"""),"")</f>
        <v/>
      </c>
      <c r="B95" s="16"/>
      <c r="C95" s="16"/>
      <c r="D95" s="16"/>
      <c r="E95" s="16"/>
      <c r="F95" s="16"/>
      <c r="G95" s="16"/>
      <c r="H95" s="16"/>
    </row>
    <row r="96">
      <c r="A96" s="14" t="str">
        <f>IFERROR(__xludf.DUMMYFUNCTION("""COMPUTED_VALUE"""),"")</f>
        <v/>
      </c>
      <c r="B96" s="16"/>
      <c r="C96" s="16"/>
      <c r="D96" s="16"/>
      <c r="E96" s="16"/>
      <c r="F96" s="16"/>
      <c r="G96" s="16"/>
      <c r="H96" s="16"/>
    </row>
    <row r="97">
      <c r="A97" s="14" t="str">
        <f>IFERROR(__xludf.DUMMYFUNCTION("""COMPUTED_VALUE"""),"")</f>
        <v/>
      </c>
      <c r="B97" s="16"/>
      <c r="C97" s="16"/>
      <c r="D97" s="16"/>
      <c r="E97" s="16"/>
      <c r="F97" s="16"/>
      <c r="G97" s="16"/>
      <c r="H97" s="16"/>
    </row>
    <row r="98">
      <c r="A98" s="14" t="str">
        <f>IFERROR(__xludf.DUMMYFUNCTION("""COMPUTED_VALUE"""),"")</f>
        <v/>
      </c>
      <c r="B98" s="16"/>
      <c r="C98" s="16"/>
      <c r="D98" s="16"/>
      <c r="E98" s="16"/>
      <c r="F98" s="16"/>
      <c r="G98" s="16"/>
      <c r="H98" s="16"/>
    </row>
    <row r="99">
      <c r="A99" s="14" t="str">
        <f>IFERROR(__xludf.DUMMYFUNCTION("""COMPUTED_VALUE"""),"")</f>
        <v/>
      </c>
      <c r="B99" s="16"/>
      <c r="C99" s="16"/>
      <c r="D99" s="16"/>
      <c r="E99" s="16"/>
      <c r="F99" s="16"/>
      <c r="G99" s="16"/>
      <c r="H99" s="16"/>
    </row>
    <row r="100">
      <c r="A100" s="14" t="str">
        <f>IFERROR(__xludf.DUMMYFUNCTION("""COMPUTED_VALUE"""),"")</f>
        <v/>
      </c>
      <c r="B100" s="16"/>
      <c r="C100" s="16"/>
      <c r="D100" s="16"/>
      <c r="E100" s="16"/>
      <c r="F100" s="16"/>
      <c r="G100" s="16"/>
      <c r="H100" s="16"/>
    </row>
    <row r="101">
      <c r="A101" s="14" t="str">
        <f>IFERROR(__xludf.DUMMYFUNCTION("""COMPUTED_VALUE"""),"")</f>
        <v/>
      </c>
      <c r="B101" s="16"/>
      <c r="C101" s="16"/>
      <c r="D101" s="16"/>
      <c r="E101" s="16"/>
      <c r="F101" s="16"/>
      <c r="G101" s="16"/>
      <c r="H101" s="16"/>
    </row>
    <row r="102">
      <c r="A102" s="14" t="str">
        <f>IFERROR(__xludf.DUMMYFUNCTION("""COMPUTED_VALUE"""),"")</f>
        <v/>
      </c>
      <c r="B102" s="16"/>
      <c r="C102" s="16"/>
      <c r="D102" s="16"/>
      <c r="E102" s="16"/>
      <c r="F102" s="16"/>
      <c r="G102" s="16"/>
      <c r="H102" s="16"/>
    </row>
    <row r="103">
      <c r="A103" s="14" t="str">
        <f>IFERROR(__xludf.DUMMYFUNCTION("""COMPUTED_VALUE"""),"")</f>
        <v/>
      </c>
      <c r="B103" s="16"/>
      <c r="C103" s="16"/>
      <c r="D103" s="16"/>
      <c r="E103" s="16"/>
      <c r="F103" s="16"/>
      <c r="G103" s="16"/>
      <c r="H103" s="16"/>
    </row>
    <row r="104">
      <c r="A104" s="14" t="str">
        <f>IFERROR(__xludf.DUMMYFUNCTION("""COMPUTED_VALUE"""),"")</f>
        <v/>
      </c>
      <c r="B104" s="16"/>
      <c r="C104" s="16"/>
      <c r="D104" s="16"/>
      <c r="E104" s="16"/>
      <c r="F104" s="16"/>
      <c r="G104" s="16"/>
      <c r="H104" s="16"/>
    </row>
    <row r="105">
      <c r="A105" s="14" t="str">
        <f>IFERROR(__xludf.DUMMYFUNCTION("""COMPUTED_VALUE"""),"")</f>
        <v/>
      </c>
      <c r="B105" s="16"/>
      <c r="C105" s="16"/>
      <c r="D105" s="16"/>
      <c r="E105" s="16"/>
      <c r="F105" s="16"/>
      <c r="G105" s="16"/>
      <c r="H105" s="16"/>
    </row>
    <row r="106">
      <c r="A106" s="14" t="str">
        <f>IFERROR(__xludf.DUMMYFUNCTION("""COMPUTED_VALUE"""),"")</f>
        <v/>
      </c>
      <c r="B106" s="16"/>
      <c r="C106" s="16"/>
      <c r="D106" s="16"/>
      <c r="E106" s="16"/>
      <c r="F106" s="16"/>
      <c r="G106" s="16"/>
      <c r="H106" s="16"/>
    </row>
    <row r="107">
      <c r="A107" s="14" t="str">
        <f>IFERROR(__xludf.DUMMYFUNCTION("""COMPUTED_VALUE"""),"")</f>
        <v/>
      </c>
      <c r="B107" s="16"/>
      <c r="C107" s="16"/>
      <c r="D107" s="16"/>
      <c r="E107" s="16"/>
      <c r="F107" s="16"/>
      <c r="G107" s="16"/>
      <c r="H107" s="16"/>
    </row>
    <row r="108">
      <c r="A108" s="14" t="str">
        <f>IFERROR(__xludf.DUMMYFUNCTION("""COMPUTED_VALUE"""),"")</f>
        <v/>
      </c>
      <c r="B108" s="16"/>
      <c r="C108" s="16"/>
      <c r="D108" s="16"/>
      <c r="E108" s="16"/>
      <c r="F108" s="16"/>
      <c r="G108" s="16"/>
      <c r="H108" s="16"/>
    </row>
    <row r="109">
      <c r="A109" s="14" t="str">
        <f>IFERROR(__xludf.DUMMYFUNCTION("""COMPUTED_VALUE"""),"")</f>
        <v/>
      </c>
      <c r="B109" s="16"/>
      <c r="C109" s="16"/>
      <c r="D109" s="16"/>
      <c r="E109" s="16"/>
      <c r="F109" s="16"/>
      <c r="G109" s="16"/>
      <c r="H109" s="16"/>
    </row>
    <row r="110">
      <c r="A110" s="14" t="str">
        <f>IFERROR(__xludf.DUMMYFUNCTION("""COMPUTED_VALUE"""),"")</f>
        <v/>
      </c>
      <c r="B110" s="16"/>
      <c r="C110" s="16"/>
      <c r="D110" s="16"/>
      <c r="E110" s="16"/>
      <c r="F110" s="16"/>
      <c r="G110" s="16"/>
      <c r="H110" s="16"/>
    </row>
    <row r="111">
      <c r="A111" s="14" t="str">
        <f>IFERROR(__xludf.DUMMYFUNCTION("""COMPUTED_VALUE"""),"")</f>
        <v/>
      </c>
      <c r="B111" s="16"/>
      <c r="C111" s="16"/>
      <c r="D111" s="16"/>
      <c r="E111" s="16"/>
      <c r="F111" s="16"/>
      <c r="G111" s="16"/>
      <c r="H111" s="16"/>
    </row>
    <row r="112">
      <c r="A112" s="14" t="str">
        <f>IFERROR(__xludf.DUMMYFUNCTION("""COMPUTED_VALUE"""),"")</f>
        <v/>
      </c>
      <c r="B112" s="16"/>
      <c r="C112" s="16"/>
      <c r="D112" s="16"/>
      <c r="E112" s="16"/>
      <c r="F112" s="16"/>
      <c r="G112" s="16"/>
      <c r="H112" s="16"/>
    </row>
    <row r="113">
      <c r="A113" s="14" t="str">
        <f>IFERROR(__xludf.DUMMYFUNCTION("""COMPUTED_VALUE"""),"")</f>
        <v/>
      </c>
      <c r="B113" s="16"/>
      <c r="C113" s="16"/>
      <c r="D113" s="16"/>
      <c r="E113" s="16"/>
      <c r="F113" s="16"/>
      <c r="G113" s="16"/>
      <c r="H113" s="16"/>
    </row>
    <row r="114">
      <c r="A114" s="14" t="str">
        <f>IFERROR(__xludf.DUMMYFUNCTION("""COMPUTED_VALUE"""),"")</f>
        <v/>
      </c>
      <c r="B114" s="16"/>
      <c r="C114" s="16"/>
      <c r="D114" s="16"/>
      <c r="E114" s="16"/>
      <c r="F114" s="16"/>
      <c r="G114" s="16"/>
      <c r="H114" s="16"/>
    </row>
    <row r="115">
      <c r="A115" s="14" t="str">
        <f>IFERROR(__xludf.DUMMYFUNCTION("""COMPUTED_VALUE"""),"")</f>
        <v/>
      </c>
      <c r="B115" s="16"/>
      <c r="C115" s="16"/>
      <c r="D115" s="16"/>
      <c r="E115" s="16"/>
      <c r="F115" s="16"/>
      <c r="G115" s="16"/>
      <c r="H115" s="16"/>
    </row>
    <row r="116">
      <c r="A116" s="14" t="str">
        <f>IFERROR(__xludf.DUMMYFUNCTION("""COMPUTED_VALUE"""),"")</f>
        <v/>
      </c>
      <c r="B116" s="16"/>
      <c r="C116" s="16"/>
      <c r="D116" s="16"/>
      <c r="E116" s="16"/>
      <c r="F116" s="16"/>
      <c r="G116" s="16"/>
      <c r="H116" s="16"/>
    </row>
    <row r="117">
      <c r="A117" s="14" t="str">
        <f>IFERROR(__xludf.DUMMYFUNCTION("""COMPUTED_VALUE"""),"")</f>
        <v/>
      </c>
      <c r="B117" s="16"/>
      <c r="C117" s="16"/>
      <c r="D117" s="16"/>
      <c r="E117" s="16"/>
      <c r="F117" s="16"/>
      <c r="G117" s="16"/>
      <c r="H117" s="16"/>
    </row>
    <row r="118">
      <c r="A118" s="14" t="str">
        <f>IFERROR(__xludf.DUMMYFUNCTION("""COMPUTED_VALUE"""),"")</f>
        <v/>
      </c>
      <c r="B118" s="16"/>
      <c r="C118" s="16"/>
      <c r="D118" s="16"/>
      <c r="E118" s="16"/>
      <c r="F118" s="16"/>
      <c r="G118" s="16"/>
      <c r="H118" s="16"/>
    </row>
    <row r="119">
      <c r="A119" s="14" t="str">
        <f>IFERROR(__xludf.DUMMYFUNCTION("""COMPUTED_VALUE"""),"")</f>
        <v/>
      </c>
      <c r="B119" s="16"/>
      <c r="C119" s="16"/>
      <c r="D119" s="16"/>
      <c r="E119" s="16"/>
      <c r="F119" s="16"/>
      <c r="G119" s="16"/>
      <c r="H119" s="16"/>
    </row>
    <row r="120">
      <c r="A120" s="14" t="str">
        <f>IFERROR(__xludf.DUMMYFUNCTION("""COMPUTED_VALUE"""),"")</f>
        <v/>
      </c>
      <c r="B120" s="16"/>
      <c r="C120" s="16"/>
      <c r="D120" s="16"/>
      <c r="E120" s="16"/>
      <c r="F120" s="16"/>
      <c r="G120" s="16"/>
      <c r="H120" s="16"/>
    </row>
    <row r="121">
      <c r="A121" s="14" t="str">
        <f>IFERROR(__xludf.DUMMYFUNCTION("""COMPUTED_VALUE"""),"")</f>
        <v/>
      </c>
      <c r="B121" s="16"/>
      <c r="C121" s="16"/>
      <c r="D121" s="16"/>
      <c r="E121" s="16"/>
      <c r="F121" s="16"/>
      <c r="G121" s="16"/>
      <c r="H121" s="16"/>
    </row>
    <row r="122">
      <c r="A122" s="14" t="str">
        <f>IFERROR(__xludf.DUMMYFUNCTION("""COMPUTED_VALUE"""),"")</f>
        <v/>
      </c>
      <c r="B122" s="16"/>
      <c r="C122" s="16"/>
      <c r="D122" s="16"/>
      <c r="E122" s="16"/>
      <c r="F122" s="16"/>
      <c r="G122" s="16"/>
      <c r="H122" s="16"/>
    </row>
    <row r="123">
      <c r="A123" s="14" t="str">
        <f>IFERROR(__xludf.DUMMYFUNCTION("""COMPUTED_VALUE"""),"")</f>
        <v/>
      </c>
      <c r="B123" s="16"/>
      <c r="C123" s="16"/>
      <c r="D123" s="16"/>
      <c r="E123" s="16"/>
      <c r="F123" s="16"/>
      <c r="G123" s="16"/>
      <c r="H123" s="16"/>
    </row>
    <row r="124">
      <c r="A124" s="14" t="str">
        <f>IFERROR(__xludf.DUMMYFUNCTION("""COMPUTED_VALUE"""),"")</f>
        <v/>
      </c>
      <c r="B124" s="16"/>
      <c r="C124" s="16"/>
      <c r="D124" s="16"/>
      <c r="E124" s="16"/>
      <c r="F124" s="16"/>
      <c r="G124" s="16"/>
      <c r="H124" s="16"/>
    </row>
    <row r="125">
      <c r="A125" s="14" t="str">
        <f>IFERROR(__xludf.DUMMYFUNCTION("""COMPUTED_VALUE"""),"")</f>
        <v/>
      </c>
      <c r="B125" s="16"/>
      <c r="C125" s="16"/>
      <c r="D125" s="16"/>
      <c r="E125" s="16"/>
      <c r="F125" s="16"/>
      <c r="G125" s="16"/>
      <c r="H125" s="16"/>
    </row>
    <row r="126">
      <c r="A126" s="14" t="str">
        <f>IFERROR(__xludf.DUMMYFUNCTION("""COMPUTED_VALUE"""),"")</f>
        <v/>
      </c>
      <c r="B126" s="16"/>
      <c r="C126" s="16"/>
      <c r="D126" s="16"/>
      <c r="E126" s="16"/>
      <c r="F126" s="16"/>
      <c r="G126" s="16"/>
      <c r="H126" s="16"/>
    </row>
    <row r="127">
      <c r="A127" s="14" t="str">
        <f>IFERROR(__xludf.DUMMYFUNCTION("""COMPUTED_VALUE"""),"")</f>
        <v/>
      </c>
      <c r="B127" s="16"/>
      <c r="C127" s="16"/>
      <c r="D127" s="16"/>
      <c r="E127" s="16"/>
      <c r="F127" s="16"/>
      <c r="G127" s="16"/>
      <c r="H127" s="16"/>
    </row>
    <row r="128">
      <c r="A128" s="14" t="str">
        <f>IFERROR(__xludf.DUMMYFUNCTION("""COMPUTED_VALUE"""),"")</f>
        <v/>
      </c>
      <c r="B128" s="16"/>
      <c r="C128" s="16"/>
      <c r="D128" s="16"/>
      <c r="E128" s="16"/>
      <c r="F128" s="16"/>
      <c r="G128" s="16"/>
      <c r="H128" s="16"/>
    </row>
    <row r="129">
      <c r="A129" s="14" t="str">
        <f>IFERROR(__xludf.DUMMYFUNCTION("""COMPUTED_VALUE"""),"")</f>
        <v/>
      </c>
      <c r="B129" s="16"/>
      <c r="C129" s="16"/>
      <c r="D129" s="16"/>
      <c r="E129" s="16"/>
      <c r="F129" s="16"/>
      <c r="G129" s="16"/>
      <c r="H129" s="16"/>
    </row>
    <row r="130">
      <c r="A130" s="14" t="str">
        <f>IFERROR(__xludf.DUMMYFUNCTION("""COMPUTED_VALUE"""),"")</f>
        <v/>
      </c>
      <c r="B130" s="16"/>
      <c r="C130" s="16"/>
      <c r="D130" s="16"/>
      <c r="E130" s="16"/>
      <c r="F130" s="16"/>
      <c r="G130" s="16"/>
      <c r="H130" s="16"/>
    </row>
    <row r="131">
      <c r="A131" s="14" t="str">
        <f>IFERROR(__xludf.DUMMYFUNCTION("""COMPUTED_VALUE"""),"")</f>
        <v/>
      </c>
      <c r="B131" s="16"/>
      <c r="C131" s="16"/>
      <c r="D131" s="16"/>
      <c r="E131" s="16"/>
      <c r="F131" s="16"/>
      <c r="G131" s="16"/>
      <c r="H131" s="16"/>
    </row>
    <row r="132">
      <c r="A132" s="14" t="str">
        <f>IFERROR(__xludf.DUMMYFUNCTION("""COMPUTED_VALUE"""),"")</f>
        <v/>
      </c>
      <c r="B132" s="16"/>
      <c r="C132" s="16"/>
      <c r="D132" s="16"/>
      <c r="E132" s="16"/>
      <c r="F132" s="16"/>
      <c r="G132" s="16"/>
      <c r="H132" s="16"/>
    </row>
    <row r="133">
      <c r="A133" s="14" t="str">
        <f>IFERROR(__xludf.DUMMYFUNCTION("""COMPUTED_VALUE"""),"")</f>
        <v/>
      </c>
      <c r="B133" s="16"/>
      <c r="C133" s="16"/>
      <c r="D133" s="16"/>
      <c r="E133" s="16"/>
      <c r="F133" s="16"/>
      <c r="G133" s="16"/>
      <c r="H133" s="16"/>
    </row>
    <row r="134">
      <c r="A134" s="14" t="str">
        <f>IFERROR(__xludf.DUMMYFUNCTION("""COMPUTED_VALUE"""),"")</f>
        <v/>
      </c>
      <c r="B134" s="16"/>
      <c r="C134" s="16"/>
      <c r="D134" s="16"/>
      <c r="E134" s="16"/>
      <c r="F134" s="16"/>
      <c r="G134" s="16"/>
      <c r="H134" s="16"/>
    </row>
    <row r="135">
      <c r="A135" s="14" t="str">
        <f>IFERROR(__xludf.DUMMYFUNCTION("""COMPUTED_VALUE"""),"")</f>
        <v/>
      </c>
      <c r="B135" s="16"/>
      <c r="C135" s="16"/>
      <c r="D135" s="16"/>
      <c r="E135" s="16"/>
      <c r="F135" s="16"/>
      <c r="G135" s="16"/>
      <c r="H135" s="16"/>
    </row>
    <row r="136">
      <c r="A136" s="14" t="str">
        <f>IFERROR(__xludf.DUMMYFUNCTION("""COMPUTED_VALUE"""),"")</f>
        <v/>
      </c>
      <c r="B136" s="16"/>
      <c r="C136" s="16"/>
      <c r="D136" s="16"/>
      <c r="E136" s="16"/>
      <c r="F136" s="16"/>
      <c r="G136" s="16"/>
      <c r="H136" s="16"/>
    </row>
    <row r="137">
      <c r="A137" s="14" t="str">
        <f>IFERROR(__xludf.DUMMYFUNCTION("""COMPUTED_VALUE"""),"")</f>
        <v/>
      </c>
      <c r="B137" s="16"/>
      <c r="C137" s="16"/>
      <c r="D137" s="16"/>
      <c r="E137" s="16"/>
      <c r="F137" s="16"/>
      <c r="G137" s="16"/>
      <c r="H137" s="16"/>
    </row>
    <row r="138">
      <c r="A138" s="14" t="str">
        <f>IFERROR(__xludf.DUMMYFUNCTION("""COMPUTED_VALUE"""),"")</f>
        <v/>
      </c>
      <c r="B138" s="16"/>
      <c r="C138" s="16"/>
      <c r="D138" s="16"/>
      <c r="E138" s="16"/>
      <c r="F138" s="16"/>
      <c r="G138" s="16"/>
      <c r="H138" s="16"/>
    </row>
    <row r="139">
      <c r="A139" s="14" t="str">
        <f>IFERROR(__xludf.DUMMYFUNCTION("""COMPUTED_VALUE"""),"")</f>
        <v/>
      </c>
      <c r="B139" s="16"/>
      <c r="C139" s="16"/>
      <c r="D139" s="16"/>
      <c r="E139" s="16"/>
      <c r="F139" s="16"/>
      <c r="G139" s="16"/>
      <c r="H139" s="16"/>
    </row>
    <row r="140">
      <c r="A140" s="14" t="str">
        <f>IFERROR(__xludf.DUMMYFUNCTION("""COMPUTED_VALUE"""),"")</f>
        <v/>
      </c>
      <c r="B140" s="16"/>
      <c r="C140" s="16"/>
      <c r="D140" s="16"/>
      <c r="E140" s="16"/>
      <c r="F140" s="16"/>
      <c r="G140" s="16"/>
      <c r="H140" s="16"/>
    </row>
    <row r="141">
      <c r="A141" s="14" t="str">
        <f>IFERROR(__xludf.DUMMYFUNCTION("""COMPUTED_VALUE"""),"")</f>
        <v/>
      </c>
      <c r="B141" s="16"/>
      <c r="C141" s="16"/>
      <c r="D141" s="16"/>
      <c r="E141" s="16"/>
      <c r="F141" s="16"/>
      <c r="G141" s="16"/>
      <c r="H141" s="16"/>
    </row>
    <row r="142">
      <c r="A142" s="14" t="str">
        <f>IFERROR(__xludf.DUMMYFUNCTION("""COMPUTED_VALUE"""),"")</f>
        <v/>
      </c>
      <c r="B142" s="16"/>
      <c r="C142" s="16"/>
      <c r="D142" s="16"/>
      <c r="E142" s="16"/>
      <c r="F142" s="16"/>
      <c r="G142" s="16"/>
      <c r="H142" s="16"/>
    </row>
    <row r="143">
      <c r="A143" s="14" t="str">
        <f>IFERROR(__xludf.DUMMYFUNCTION("""COMPUTED_VALUE"""),"")</f>
        <v/>
      </c>
      <c r="B143" s="16"/>
      <c r="C143" s="16"/>
      <c r="D143" s="16"/>
      <c r="E143" s="16"/>
      <c r="F143" s="16"/>
      <c r="G143" s="16"/>
      <c r="H143" s="16"/>
    </row>
    <row r="144">
      <c r="A144" s="14" t="str">
        <f>IFERROR(__xludf.DUMMYFUNCTION("""COMPUTED_VALUE"""),"")</f>
        <v/>
      </c>
      <c r="B144" s="16"/>
      <c r="C144" s="16"/>
      <c r="D144" s="16"/>
      <c r="E144" s="16"/>
      <c r="F144" s="16"/>
      <c r="G144" s="16"/>
      <c r="H144" s="16"/>
    </row>
    <row r="145">
      <c r="A145" s="14" t="str">
        <f>IFERROR(__xludf.DUMMYFUNCTION("""COMPUTED_VALUE"""),"")</f>
        <v/>
      </c>
      <c r="B145" s="16"/>
      <c r="C145" s="16"/>
      <c r="D145" s="16"/>
      <c r="E145" s="16"/>
      <c r="F145" s="16"/>
      <c r="G145" s="16"/>
      <c r="H145" s="16"/>
    </row>
    <row r="146">
      <c r="A146" s="14" t="str">
        <f>IFERROR(__xludf.DUMMYFUNCTION("""COMPUTED_VALUE"""),"")</f>
        <v/>
      </c>
      <c r="B146" s="16"/>
      <c r="C146" s="16"/>
      <c r="D146" s="16"/>
      <c r="E146" s="16"/>
      <c r="F146" s="16"/>
      <c r="G146" s="16"/>
      <c r="H146" s="16"/>
    </row>
    <row r="147">
      <c r="A147" s="14" t="str">
        <f>IFERROR(__xludf.DUMMYFUNCTION("""COMPUTED_VALUE"""),"")</f>
        <v/>
      </c>
      <c r="B147" s="16"/>
      <c r="C147" s="16"/>
      <c r="D147" s="16"/>
      <c r="E147" s="16"/>
      <c r="F147" s="16"/>
      <c r="G147" s="16"/>
      <c r="H147" s="16"/>
    </row>
    <row r="148">
      <c r="A148" s="14" t="str">
        <f>IFERROR(__xludf.DUMMYFUNCTION("""COMPUTED_VALUE"""),"")</f>
        <v/>
      </c>
      <c r="B148" s="16"/>
      <c r="C148" s="16"/>
      <c r="D148" s="16"/>
      <c r="E148" s="16"/>
      <c r="F148" s="16"/>
      <c r="G148" s="16"/>
      <c r="H148" s="16"/>
    </row>
    <row r="149">
      <c r="A149" s="14" t="str">
        <f>IFERROR(__xludf.DUMMYFUNCTION("""COMPUTED_VALUE"""),"")</f>
        <v/>
      </c>
      <c r="B149" s="16"/>
      <c r="C149" s="16"/>
      <c r="D149" s="16"/>
      <c r="E149" s="16"/>
      <c r="F149" s="16"/>
      <c r="G149" s="16"/>
      <c r="H149" s="16"/>
    </row>
    <row r="150">
      <c r="A150" s="14" t="str">
        <f>IFERROR(__xludf.DUMMYFUNCTION("""COMPUTED_VALUE"""),"")</f>
        <v/>
      </c>
      <c r="B150" s="16"/>
      <c r="C150" s="16"/>
      <c r="D150" s="16"/>
      <c r="E150" s="16"/>
      <c r="F150" s="16"/>
      <c r="G150" s="16"/>
      <c r="H150" s="16"/>
    </row>
    <row r="151">
      <c r="A151" s="14" t="str">
        <f>IFERROR(__xludf.DUMMYFUNCTION("""COMPUTED_VALUE"""),"")</f>
        <v/>
      </c>
      <c r="B151" s="16"/>
      <c r="C151" s="16"/>
      <c r="D151" s="16"/>
      <c r="E151" s="16"/>
      <c r="F151" s="16"/>
      <c r="G151" s="16"/>
      <c r="H151" s="16"/>
    </row>
    <row r="152">
      <c r="A152" s="14" t="str">
        <f>IFERROR(__xludf.DUMMYFUNCTION("""COMPUTED_VALUE"""),"")</f>
        <v/>
      </c>
      <c r="B152" s="16"/>
      <c r="C152" s="16"/>
      <c r="D152" s="16"/>
      <c r="E152" s="16"/>
      <c r="F152" s="16"/>
      <c r="G152" s="16"/>
      <c r="H152" s="16"/>
    </row>
    <row r="153">
      <c r="A153" s="14" t="str">
        <f>IFERROR(__xludf.DUMMYFUNCTION("""COMPUTED_VALUE"""),"")</f>
        <v/>
      </c>
      <c r="B153" s="16"/>
      <c r="C153" s="16"/>
      <c r="D153" s="16"/>
      <c r="E153" s="16"/>
      <c r="F153" s="16"/>
      <c r="G153" s="16"/>
      <c r="H153" s="16"/>
    </row>
    <row r="154">
      <c r="A154" s="14" t="str">
        <f>IFERROR(__xludf.DUMMYFUNCTION("""COMPUTED_VALUE"""),"")</f>
        <v/>
      </c>
      <c r="B154" s="16"/>
      <c r="C154" s="16"/>
      <c r="D154" s="16"/>
      <c r="E154" s="16"/>
      <c r="F154" s="16"/>
      <c r="G154" s="16"/>
      <c r="H154" s="16"/>
    </row>
    <row r="155">
      <c r="A155" s="14" t="str">
        <f>IFERROR(__xludf.DUMMYFUNCTION("""COMPUTED_VALUE"""),"")</f>
        <v/>
      </c>
      <c r="B155" s="16"/>
      <c r="C155" s="16"/>
      <c r="D155" s="16"/>
      <c r="E155" s="16"/>
      <c r="F155" s="16"/>
      <c r="G155" s="16"/>
      <c r="H155" s="16"/>
    </row>
    <row r="156">
      <c r="A156" s="14" t="str">
        <f>IFERROR(__xludf.DUMMYFUNCTION("""COMPUTED_VALUE"""),"")</f>
        <v/>
      </c>
      <c r="B156" s="16"/>
      <c r="C156" s="16"/>
      <c r="D156" s="16"/>
      <c r="E156" s="16"/>
      <c r="F156" s="16"/>
      <c r="G156" s="16"/>
      <c r="H156" s="16"/>
    </row>
    <row r="157">
      <c r="A157" s="14" t="str">
        <f>IFERROR(__xludf.DUMMYFUNCTION("""COMPUTED_VALUE"""),"")</f>
        <v/>
      </c>
      <c r="B157" s="16"/>
      <c r="C157" s="16"/>
      <c r="D157" s="16"/>
      <c r="E157" s="16"/>
      <c r="F157" s="16"/>
      <c r="G157" s="16"/>
      <c r="H157" s="16"/>
    </row>
    <row r="158">
      <c r="A158" s="14" t="str">
        <f>IFERROR(__xludf.DUMMYFUNCTION("""COMPUTED_VALUE"""),"")</f>
        <v/>
      </c>
      <c r="B158" s="16"/>
      <c r="C158" s="16"/>
      <c r="D158" s="16"/>
      <c r="E158" s="16"/>
      <c r="F158" s="16"/>
      <c r="G158" s="16"/>
      <c r="H158" s="16"/>
    </row>
    <row r="159">
      <c r="A159" s="14" t="str">
        <f>IFERROR(__xludf.DUMMYFUNCTION("""COMPUTED_VALUE"""),"")</f>
        <v/>
      </c>
      <c r="B159" s="16"/>
      <c r="C159" s="16"/>
      <c r="D159" s="16"/>
      <c r="E159" s="16"/>
      <c r="F159" s="16"/>
      <c r="G159" s="16"/>
      <c r="H159" s="16"/>
    </row>
    <row r="160">
      <c r="A160" s="14" t="str">
        <f>IFERROR(__xludf.DUMMYFUNCTION("""COMPUTED_VALUE"""),"")</f>
        <v/>
      </c>
      <c r="B160" s="16"/>
      <c r="C160" s="16"/>
      <c r="D160" s="16"/>
      <c r="E160" s="16"/>
      <c r="F160" s="16"/>
      <c r="G160" s="16"/>
      <c r="H160" s="16"/>
    </row>
    <row r="161">
      <c r="A161" s="14" t="str">
        <f>IFERROR(__xludf.DUMMYFUNCTION("""COMPUTED_VALUE"""),"")</f>
        <v/>
      </c>
      <c r="B161" s="16"/>
      <c r="C161" s="16"/>
      <c r="D161" s="16"/>
      <c r="E161" s="16"/>
      <c r="F161" s="16"/>
      <c r="G161" s="16"/>
      <c r="H161" s="16"/>
    </row>
    <row r="162">
      <c r="A162" s="14" t="str">
        <f>IFERROR(__xludf.DUMMYFUNCTION("""COMPUTED_VALUE"""),"")</f>
        <v/>
      </c>
      <c r="B162" s="16"/>
      <c r="C162" s="16"/>
      <c r="D162" s="16"/>
      <c r="E162" s="16"/>
      <c r="F162" s="16"/>
      <c r="G162" s="16"/>
      <c r="H162" s="16"/>
    </row>
    <row r="163">
      <c r="A163" s="14" t="str">
        <f>IFERROR(__xludf.DUMMYFUNCTION("""COMPUTED_VALUE"""),"")</f>
        <v/>
      </c>
      <c r="B163" s="16"/>
      <c r="C163" s="16"/>
      <c r="D163" s="16"/>
      <c r="E163" s="16"/>
      <c r="F163" s="16"/>
      <c r="G163" s="16"/>
      <c r="H163" s="16"/>
    </row>
    <row r="164">
      <c r="A164" s="14" t="str">
        <f>IFERROR(__xludf.DUMMYFUNCTION("""COMPUTED_VALUE"""),"")</f>
        <v/>
      </c>
      <c r="B164" s="16"/>
      <c r="C164" s="16"/>
      <c r="D164" s="16"/>
      <c r="E164" s="16"/>
      <c r="F164" s="16"/>
      <c r="G164" s="16"/>
      <c r="H164" s="16"/>
    </row>
    <row r="165">
      <c r="A165" s="14" t="str">
        <f>IFERROR(__xludf.DUMMYFUNCTION("""COMPUTED_VALUE"""),"")</f>
        <v/>
      </c>
      <c r="B165" s="16"/>
      <c r="C165" s="16"/>
      <c r="D165" s="16"/>
      <c r="E165" s="16"/>
      <c r="F165" s="16"/>
      <c r="G165" s="16"/>
      <c r="H165" s="16"/>
    </row>
    <row r="166">
      <c r="A166" s="14" t="str">
        <f>IFERROR(__xludf.DUMMYFUNCTION("""COMPUTED_VALUE"""),"")</f>
        <v/>
      </c>
      <c r="B166" s="16"/>
      <c r="C166" s="16"/>
      <c r="D166" s="16"/>
      <c r="E166" s="16"/>
      <c r="F166" s="16"/>
      <c r="G166" s="16"/>
      <c r="H166" s="16"/>
    </row>
    <row r="167">
      <c r="A167" s="14" t="str">
        <f>IFERROR(__xludf.DUMMYFUNCTION("""COMPUTED_VALUE"""),"")</f>
        <v/>
      </c>
      <c r="B167" s="16"/>
      <c r="C167" s="16"/>
      <c r="D167" s="16"/>
      <c r="E167" s="16"/>
      <c r="F167" s="16"/>
      <c r="G167" s="16"/>
      <c r="H167" s="16"/>
    </row>
    <row r="168">
      <c r="A168" s="14" t="str">
        <f>IFERROR(__xludf.DUMMYFUNCTION("""COMPUTED_VALUE"""),"")</f>
        <v/>
      </c>
      <c r="B168" s="16"/>
      <c r="C168" s="16"/>
      <c r="D168" s="16"/>
      <c r="E168" s="16"/>
      <c r="F168" s="16"/>
      <c r="G168" s="16"/>
      <c r="H168" s="16"/>
    </row>
    <row r="169">
      <c r="A169" s="14" t="str">
        <f>IFERROR(__xludf.DUMMYFUNCTION("""COMPUTED_VALUE"""),"")</f>
        <v/>
      </c>
      <c r="B169" s="16"/>
      <c r="C169" s="16"/>
      <c r="D169" s="16"/>
      <c r="E169" s="16"/>
      <c r="F169" s="16"/>
      <c r="G169" s="16"/>
      <c r="H169" s="16"/>
    </row>
    <row r="170">
      <c r="A170" s="14" t="str">
        <f>IFERROR(__xludf.DUMMYFUNCTION("""COMPUTED_VALUE"""),"")</f>
        <v/>
      </c>
      <c r="B170" s="16"/>
      <c r="C170" s="16"/>
      <c r="D170" s="16"/>
      <c r="E170" s="16"/>
      <c r="F170" s="16"/>
      <c r="G170" s="16"/>
      <c r="H170" s="16"/>
    </row>
    <row r="171">
      <c r="A171" s="14" t="str">
        <f>IFERROR(__xludf.DUMMYFUNCTION("""COMPUTED_VALUE"""),"")</f>
        <v/>
      </c>
      <c r="B171" s="16"/>
      <c r="C171" s="16"/>
      <c r="D171" s="16"/>
      <c r="E171" s="16"/>
      <c r="F171" s="16"/>
      <c r="G171" s="16"/>
      <c r="H171" s="16"/>
    </row>
    <row r="172">
      <c r="A172" s="14" t="str">
        <f>IFERROR(__xludf.DUMMYFUNCTION("""COMPUTED_VALUE"""),"")</f>
        <v/>
      </c>
      <c r="B172" s="16"/>
      <c r="C172" s="16"/>
      <c r="D172" s="16"/>
      <c r="E172" s="16"/>
      <c r="F172" s="16"/>
      <c r="G172" s="16"/>
      <c r="H172" s="16"/>
    </row>
    <row r="173">
      <c r="A173" s="14" t="str">
        <f>IFERROR(__xludf.DUMMYFUNCTION("""COMPUTED_VALUE"""),"")</f>
        <v/>
      </c>
      <c r="B173" s="16"/>
      <c r="C173" s="16"/>
      <c r="D173" s="16"/>
      <c r="E173" s="16"/>
      <c r="F173" s="16"/>
      <c r="G173" s="16"/>
      <c r="H173" s="16"/>
    </row>
    <row r="174">
      <c r="A174" s="14" t="str">
        <f>IFERROR(__xludf.DUMMYFUNCTION("""COMPUTED_VALUE"""),"")</f>
        <v/>
      </c>
      <c r="B174" s="16"/>
      <c r="C174" s="16"/>
      <c r="D174" s="16"/>
      <c r="E174" s="16"/>
      <c r="F174" s="16"/>
      <c r="G174" s="16"/>
      <c r="H174" s="16"/>
    </row>
    <row r="175">
      <c r="A175" s="14" t="str">
        <f>IFERROR(__xludf.DUMMYFUNCTION("""COMPUTED_VALUE"""),"")</f>
        <v/>
      </c>
      <c r="B175" s="16"/>
      <c r="C175" s="16"/>
      <c r="D175" s="16"/>
      <c r="E175" s="16"/>
      <c r="F175" s="16"/>
      <c r="G175" s="16"/>
      <c r="H175" s="16"/>
    </row>
    <row r="176">
      <c r="A176" s="14" t="str">
        <f>IFERROR(__xludf.DUMMYFUNCTION("""COMPUTED_VALUE"""),"")</f>
        <v/>
      </c>
      <c r="B176" s="16"/>
      <c r="C176" s="16"/>
      <c r="D176" s="16"/>
      <c r="E176" s="16"/>
      <c r="F176" s="16"/>
      <c r="G176" s="16"/>
      <c r="H176" s="16"/>
    </row>
    <row r="177">
      <c r="A177" s="14" t="str">
        <f>IFERROR(__xludf.DUMMYFUNCTION("""COMPUTED_VALUE"""),"")</f>
        <v/>
      </c>
      <c r="B177" s="16"/>
      <c r="C177" s="16"/>
      <c r="D177" s="16"/>
      <c r="E177" s="16"/>
      <c r="F177" s="16"/>
      <c r="G177" s="16"/>
      <c r="H177" s="16"/>
    </row>
    <row r="178">
      <c r="A178" s="14" t="str">
        <f>IFERROR(__xludf.DUMMYFUNCTION("""COMPUTED_VALUE"""),"")</f>
        <v/>
      </c>
      <c r="B178" s="16"/>
      <c r="C178" s="16"/>
      <c r="D178" s="16"/>
      <c r="E178" s="16"/>
      <c r="F178" s="16"/>
      <c r="G178" s="16"/>
      <c r="H178" s="16"/>
    </row>
    <row r="179">
      <c r="A179" s="14" t="str">
        <f>IFERROR(__xludf.DUMMYFUNCTION("""COMPUTED_VALUE"""),"")</f>
        <v/>
      </c>
      <c r="B179" s="16"/>
      <c r="C179" s="16"/>
      <c r="D179" s="16"/>
      <c r="E179" s="16"/>
      <c r="F179" s="16"/>
      <c r="G179" s="16"/>
      <c r="H179" s="16"/>
    </row>
    <row r="180">
      <c r="A180" s="14" t="str">
        <f>IFERROR(__xludf.DUMMYFUNCTION("""COMPUTED_VALUE"""),"")</f>
        <v/>
      </c>
      <c r="B180" s="16"/>
      <c r="C180" s="16"/>
      <c r="D180" s="16"/>
      <c r="E180" s="16"/>
      <c r="F180" s="16"/>
      <c r="G180" s="16"/>
      <c r="H180" s="16"/>
    </row>
    <row r="181">
      <c r="A181" s="14" t="str">
        <f>IFERROR(__xludf.DUMMYFUNCTION("""COMPUTED_VALUE"""),"")</f>
        <v/>
      </c>
      <c r="B181" s="16"/>
      <c r="C181" s="16"/>
      <c r="D181" s="16"/>
      <c r="E181" s="16"/>
      <c r="F181" s="16"/>
      <c r="G181" s="16"/>
      <c r="H181" s="16"/>
    </row>
    <row r="182">
      <c r="A182" s="14" t="str">
        <f>IFERROR(__xludf.DUMMYFUNCTION("""COMPUTED_VALUE"""),"")</f>
        <v/>
      </c>
      <c r="B182" s="16"/>
      <c r="C182" s="16"/>
      <c r="D182" s="16"/>
      <c r="E182" s="16"/>
      <c r="F182" s="16"/>
      <c r="G182" s="16"/>
      <c r="H182" s="16"/>
    </row>
    <row r="183">
      <c r="A183" s="14" t="str">
        <f>IFERROR(__xludf.DUMMYFUNCTION("""COMPUTED_VALUE"""),"")</f>
        <v/>
      </c>
      <c r="B183" s="16"/>
      <c r="C183" s="16"/>
      <c r="D183" s="16"/>
      <c r="E183" s="16"/>
      <c r="F183" s="16"/>
      <c r="G183" s="16"/>
      <c r="H183" s="16"/>
    </row>
    <row r="184">
      <c r="A184" s="14" t="str">
        <f>IFERROR(__xludf.DUMMYFUNCTION("""COMPUTED_VALUE"""),"")</f>
        <v/>
      </c>
      <c r="B184" s="16"/>
      <c r="C184" s="16"/>
      <c r="D184" s="16"/>
      <c r="E184" s="16"/>
      <c r="F184" s="16"/>
      <c r="G184" s="16"/>
      <c r="H184" s="16"/>
    </row>
    <row r="185">
      <c r="A185" s="14" t="str">
        <f>IFERROR(__xludf.DUMMYFUNCTION("""COMPUTED_VALUE"""),"")</f>
        <v/>
      </c>
      <c r="B185" s="16"/>
      <c r="C185" s="16"/>
      <c r="D185" s="16"/>
      <c r="E185" s="16"/>
      <c r="F185" s="16"/>
      <c r="G185" s="16"/>
      <c r="H185" s="16"/>
    </row>
    <row r="186">
      <c r="A186" s="14" t="str">
        <f>IFERROR(__xludf.DUMMYFUNCTION("""COMPUTED_VALUE"""),"")</f>
        <v/>
      </c>
      <c r="B186" s="16"/>
      <c r="C186" s="16"/>
      <c r="D186" s="16"/>
      <c r="E186" s="16"/>
      <c r="F186" s="16"/>
      <c r="G186" s="16"/>
      <c r="H186" s="16"/>
    </row>
    <row r="187">
      <c r="A187" s="14" t="str">
        <f>IFERROR(__xludf.DUMMYFUNCTION("""COMPUTED_VALUE"""),"")</f>
        <v/>
      </c>
      <c r="B187" s="16"/>
      <c r="C187" s="16"/>
      <c r="D187" s="16"/>
      <c r="E187" s="16"/>
      <c r="F187" s="16"/>
      <c r="G187" s="16"/>
      <c r="H187" s="16"/>
    </row>
    <row r="188">
      <c r="A188" s="14" t="str">
        <f>IFERROR(__xludf.DUMMYFUNCTION("""COMPUTED_VALUE"""),"")</f>
        <v/>
      </c>
      <c r="B188" s="16"/>
      <c r="C188" s="16"/>
      <c r="D188" s="16"/>
      <c r="E188" s="16"/>
      <c r="F188" s="16"/>
      <c r="G188" s="16"/>
      <c r="H188" s="16"/>
    </row>
    <row r="189">
      <c r="A189" s="14" t="str">
        <f>IFERROR(__xludf.DUMMYFUNCTION("""COMPUTED_VALUE"""),"")</f>
        <v/>
      </c>
      <c r="B189" s="16"/>
      <c r="C189" s="16"/>
      <c r="D189" s="16"/>
      <c r="E189" s="16"/>
      <c r="F189" s="16"/>
      <c r="G189" s="16"/>
      <c r="H189" s="16"/>
    </row>
    <row r="190">
      <c r="A190" s="14" t="str">
        <f>IFERROR(__xludf.DUMMYFUNCTION("""COMPUTED_VALUE"""),"")</f>
        <v/>
      </c>
      <c r="B190" s="16"/>
      <c r="C190" s="16"/>
      <c r="D190" s="16"/>
      <c r="E190" s="16"/>
      <c r="F190" s="16"/>
      <c r="G190" s="16"/>
      <c r="H190" s="16"/>
    </row>
    <row r="191">
      <c r="A191" s="14" t="str">
        <f>IFERROR(__xludf.DUMMYFUNCTION("""COMPUTED_VALUE"""),"")</f>
        <v/>
      </c>
      <c r="B191" s="16"/>
      <c r="C191" s="16"/>
      <c r="D191" s="16"/>
      <c r="E191" s="16"/>
      <c r="F191" s="16"/>
      <c r="G191" s="16"/>
      <c r="H191" s="16"/>
    </row>
    <row r="192">
      <c r="A192" s="14" t="str">
        <f>IFERROR(__xludf.DUMMYFUNCTION("""COMPUTED_VALUE"""),"")</f>
        <v/>
      </c>
      <c r="B192" s="16"/>
      <c r="C192" s="16"/>
      <c r="D192" s="16"/>
      <c r="E192" s="16"/>
      <c r="F192" s="16"/>
      <c r="G192" s="16"/>
      <c r="H192" s="16"/>
    </row>
    <row r="193">
      <c r="A193" s="14" t="str">
        <f>IFERROR(__xludf.DUMMYFUNCTION("""COMPUTED_VALUE"""),"")</f>
        <v/>
      </c>
      <c r="B193" s="16"/>
      <c r="C193" s="16"/>
      <c r="D193" s="16"/>
      <c r="E193" s="16"/>
      <c r="F193" s="16"/>
      <c r="G193" s="16"/>
      <c r="H193" s="16"/>
    </row>
    <row r="194">
      <c r="A194" s="14" t="str">
        <f>IFERROR(__xludf.DUMMYFUNCTION("""COMPUTED_VALUE"""),"")</f>
        <v/>
      </c>
      <c r="B194" s="16"/>
      <c r="C194" s="16"/>
      <c r="D194" s="16"/>
      <c r="E194" s="16"/>
      <c r="F194" s="16"/>
      <c r="G194" s="16"/>
      <c r="H194" s="16"/>
    </row>
    <row r="195">
      <c r="A195" s="14" t="str">
        <f>IFERROR(__xludf.DUMMYFUNCTION("""COMPUTED_VALUE"""),"")</f>
        <v/>
      </c>
      <c r="B195" s="16"/>
      <c r="C195" s="16"/>
      <c r="D195" s="16"/>
      <c r="E195" s="16"/>
      <c r="F195" s="16"/>
      <c r="G195" s="16"/>
      <c r="H195" s="16"/>
    </row>
    <row r="196">
      <c r="A196" s="14" t="str">
        <f>IFERROR(__xludf.DUMMYFUNCTION("""COMPUTED_VALUE"""),"")</f>
        <v/>
      </c>
      <c r="B196" s="16"/>
      <c r="C196" s="16"/>
      <c r="D196" s="16"/>
      <c r="E196" s="16"/>
      <c r="F196" s="16"/>
      <c r="G196" s="16"/>
      <c r="H196" s="16"/>
    </row>
    <row r="197">
      <c r="A197" s="14" t="str">
        <f>IFERROR(__xludf.DUMMYFUNCTION("""COMPUTED_VALUE"""),"")</f>
        <v/>
      </c>
      <c r="B197" s="16"/>
      <c r="C197" s="16"/>
      <c r="D197" s="16"/>
      <c r="E197" s="16"/>
      <c r="F197" s="16"/>
      <c r="G197" s="16"/>
      <c r="H197" s="16"/>
    </row>
    <row r="198">
      <c r="A198" s="14" t="str">
        <f>IFERROR(__xludf.DUMMYFUNCTION("""COMPUTED_VALUE"""),"")</f>
        <v/>
      </c>
      <c r="B198" s="16"/>
      <c r="C198" s="16"/>
      <c r="D198" s="16"/>
      <c r="E198" s="16"/>
      <c r="F198" s="16"/>
      <c r="G198" s="16"/>
      <c r="H198" s="16"/>
    </row>
    <row r="199">
      <c r="A199" s="14" t="str">
        <f>IFERROR(__xludf.DUMMYFUNCTION("""COMPUTED_VALUE"""),"")</f>
        <v/>
      </c>
      <c r="B199" s="16"/>
      <c r="C199" s="16"/>
      <c r="D199" s="16"/>
      <c r="E199" s="16"/>
      <c r="F199" s="16"/>
      <c r="G199" s="16"/>
      <c r="H199" s="16"/>
    </row>
    <row r="200">
      <c r="A200" s="14" t="str">
        <f>IFERROR(__xludf.DUMMYFUNCTION("""COMPUTED_VALUE"""),"")</f>
        <v/>
      </c>
      <c r="B200" s="16"/>
      <c r="C200" s="16"/>
      <c r="D200" s="16"/>
      <c r="E200" s="16"/>
      <c r="F200" s="16"/>
      <c r="G200" s="16"/>
      <c r="H200" s="16"/>
    </row>
    <row r="201">
      <c r="A201" s="14" t="str">
        <f>IFERROR(__xludf.DUMMYFUNCTION("""COMPUTED_VALUE"""),"")</f>
        <v/>
      </c>
      <c r="B201" s="16"/>
      <c r="C201" s="16"/>
      <c r="D201" s="16"/>
      <c r="E201" s="16"/>
      <c r="F201" s="16"/>
      <c r="G201" s="16"/>
      <c r="H201" s="16"/>
    </row>
    <row r="202">
      <c r="A202" s="14" t="str">
        <f>IFERROR(__xludf.DUMMYFUNCTION("""COMPUTED_VALUE"""),"")</f>
        <v/>
      </c>
      <c r="B202" s="16"/>
      <c r="C202" s="16"/>
      <c r="D202" s="16"/>
      <c r="E202" s="16"/>
      <c r="F202" s="16"/>
      <c r="G202" s="16"/>
      <c r="H202" s="16"/>
    </row>
    <row r="203">
      <c r="A203" s="14" t="str">
        <f>IFERROR(__xludf.DUMMYFUNCTION("""COMPUTED_VALUE"""),"")</f>
        <v/>
      </c>
      <c r="B203" s="16"/>
      <c r="C203" s="16"/>
      <c r="D203" s="16"/>
      <c r="E203" s="16"/>
      <c r="F203" s="16"/>
      <c r="G203" s="16"/>
      <c r="H203" s="16"/>
    </row>
    <row r="204">
      <c r="A204" s="14" t="str">
        <f>IFERROR(__xludf.DUMMYFUNCTION("""COMPUTED_VALUE"""),"")</f>
        <v/>
      </c>
      <c r="B204" s="16"/>
      <c r="C204" s="16"/>
      <c r="D204" s="16"/>
      <c r="E204" s="16"/>
      <c r="F204" s="16"/>
      <c r="G204" s="16"/>
      <c r="H204" s="16"/>
    </row>
    <row r="205">
      <c r="A205" s="14" t="str">
        <f>IFERROR(__xludf.DUMMYFUNCTION("""COMPUTED_VALUE"""),"")</f>
        <v/>
      </c>
      <c r="B205" s="16"/>
      <c r="C205" s="16"/>
      <c r="D205" s="16"/>
      <c r="E205" s="16"/>
      <c r="F205" s="16"/>
      <c r="G205" s="16"/>
      <c r="H205" s="16"/>
    </row>
    <row r="206">
      <c r="A206" s="14" t="str">
        <f>IFERROR(__xludf.DUMMYFUNCTION("""COMPUTED_VALUE"""),"")</f>
        <v/>
      </c>
      <c r="B206" s="16"/>
      <c r="C206" s="16"/>
      <c r="D206" s="16"/>
      <c r="E206" s="16"/>
      <c r="F206" s="16"/>
      <c r="G206" s="16"/>
      <c r="H206" s="16"/>
    </row>
    <row r="207">
      <c r="A207" s="14" t="str">
        <f>IFERROR(__xludf.DUMMYFUNCTION("""COMPUTED_VALUE"""),"")</f>
        <v/>
      </c>
      <c r="B207" s="16"/>
      <c r="C207" s="16"/>
      <c r="D207" s="16"/>
      <c r="E207" s="16"/>
      <c r="F207" s="16"/>
      <c r="G207" s="16"/>
      <c r="H207" s="16"/>
    </row>
    <row r="208">
      <c r="A208" s="14" t="str">
        <f>IFERROR(__xludf.DUMMYFUNCTION("""COMPUTED_VALUE"""),"")</f>
        <v/>
      </c>
      <c r="B208" s="16"/>
      <c r="C208" s="16"/>
      <c r="D208" s="16"/>
      <c r="E208" s="16"/>
      <c r="F208" s="16"/>
      <c r="G208" s="16"/>
      <c r="H208" s="16"/>
    </row>
    <row r="209">
      <c r="A209" s="14" t="str">
        <f>IFERROR(__xludf.DUMMYFUNCTION("""COMPUTED_VALUE"""),"")</f>
        <v/>
      </c>
      <c r="B209" s="16"/>
      <c r="C209" s="16"/>
      <c r="D209" s="16"/>
      <c r="E209" s="16"/>
      <c r="F209" s="16"/>
      <c r="G209" s="16"/>
      <c r="H209" s="16"/>
    </row>
    <row r="210">
      <c r="A210" s="14" t="str">
        <f>IFERROR(__xludf.DUMMYFUNCTION("""COMPUTED_VALUE"""),"")</f>
        <v/>
      </c>
      <c r="B210" s="16"/>
      <c r="C210" s="16"/>
      <c r="D210" s="16"/>
      <c r="E210" s="16"/>
      <c r="F210" s="16"/>
      <c r="G210" s="16"/>
      <c r="H210" s="16"/>
    </row>
    <row r="211">
      <c r="A211" s="14" t="str">
        <f>IFERROR(__xludf.DUMMYFUNCTION("""COMPUTED_VALUE"""),"")</f>
        <v/>
      </c>
      <c r="B211" s="16"/>
      <c r="C211" s="16"/>
      <c r="D211" s="16"/>
      <c r="E211" s="16"/>
      <c r="F211" s="16"/>
      <c r="G211" s="16"/>
      <c r="H211" s="16"/>
    </row>
    <row r="212">
      <c r="A212" s="14" t="str">
        <f>IFERROR(__xludf.DUMMYFUNCTION("""COMPUTED_VALUE"""),"")</f>
        <v/>
      </c>
      <c r="B212" s="16"/>
      <c r="C212" s="16"/>
      <c r="D212" s="16"/>
      <c r="E212" s="16"/>
      <c r="F212" s="16"/>
      <c r="G212" s="16"/>
      <c r="H212" s="16"/>
    </row>
    <row r="213">
      <c r="A213" s="14"/>
    </row>
    <row r="214">
      <c r="A214" s="14"/>
    </row>
    <row r="215">
      <c r="A215" s="14"/>
    </row>
    <row r="216">
      <c r="A216" s="14"/>
    </row>
    <row r="217">
      <c r="A217" s="14"/>
    </row>
    <row r="218">
      <c r="A218" s="14"/>
    </row>
    <row r="219">
      <c r="A219" s="14"/>
    </row>
    <row r="220">
      <c r="A220" s="14"/>
    </row>
    <row r="221">
      <c r="A221" s="14"/>
    </row>
    <row r="222">
      <c r="A222" s="14"/>
    </row>
    <row r="223">
      <c r="A223" s="14"/>
    </row>
    <row r="224">
      <c r="A224" s="14"/>
    </row>
    <row r="225">
      <c r="A225" s="14"/>
    </row>
    <row r="226">
      <c r="A226" s="14"/>
    </row>
    <row r="227">
      <c r="A227" s="14"/>
    </row>
    <row r="228">
      <c r="A228" s="14"/>
    </row>
    <row r="229">
      <c r="A229" s="14"/>
    </row>
    <row r="230">
      <c r="A230" s="14"/>
    </row>
    <row r="231">
      <c r="A231" s="14"/>
    </row>
    <row r="232">
      <c r="A232" s="14"/>
    </row>
    <row r="233">
      <c r="A233" s="14"/>
    </row>
    <row r="234">
      <c r="A234" s="14"/>
    </row>
    <row r="235">
      <c r="A235" s="14"/>
    </row>
    <row r="236">
      <c r="A236" s="14"/>
    </row>
    <row r="237">
      <c r="A237" s="14"/>
    </row>
    <row r="238">
      <c r="A238" s="14"/>
    </row>
    <row r="239">
      <c r="A239" s="14"/>
    </row>
    <row r="240">
      <c r="A240" s="14"/>
    </row>
    <row r="241">
      <c r="A241" s="14"/>
    </row>
    <row r="242">
      <c r="A242" s="14"/>
    </row>
    <row r="243">
      <c r="A243" s="14"/>
    </row>
    <row r="244">
      <c r="A244" s="14"/>
    </row>
    <row r="245">
      <c r="A245" s="14"/>
    </row>
    <row r="246">
      <c r="A246" s="14"/>
    </row>
    <row r="247">
      <c r="A247" s="14"/>
    </row>
    <row r="248">
      <c r="A248" s="14"/>
    </row>
    <row r="249">
      <c r="A249" s="14"/>
    </row>
    <row r="250">
      <c r="A250" s="14"/>
    </row>
    <row r="251">
      <c r="A251" s="14"/>
    </row>
    <row r="252">
      <c r="A252" s="14"/>
    </row>
    <row r="253">
      <c r="A253" s="14"/>
    </row>
    <row r="254">
      <c r="A254" s="14"/>
    </row>
    <row r="255">
      <c r="A255" s="14"/>
    </row>
    <row r="256">
      <c r="A256" s="14"/>
    </row>
    <row r="257">
      <c r="A257" s="14"/>
    </row>
    <row r="258">
      <c r="A258" s="14"/>
    </row>
    <row r="259">
      <c r="A259" s="14"/>
    </row>
    <row r="260">
      <c r="A260" s="14"/>
    </row>
    <row r="261">
      <c r="A261" s="14"/>
    </row>
    <row r="262">
      <c r="A262" s="14"/>
    </row>
    <row r="263">
      <c r="A263" s="14"/>
    </row>
    <row r="264">
      <c r="A264" s="14"/>
    </row>
    <row r="265">
      <c r="A265" s="14"/>
    </row>
    <row r="266">
      <c r="A266" s="14"/>
    </row>
    <row r="267">
      <c r="A267" s="14"/>
    </row>
    <row r="268">
      <c r="A268" s="14"/>
    </row>
    <row r="269">
      <c r="A269" s="14"/>
    </row>
    <row r="270">
      <c r="A270" s="14"/>
    </row>
    <row r="271">
      <c r="A271" s="14"/>
    </row>
    <row r="272">
      <c r="A272" s="14"/>
    </row>
    <row r="273">
      <c r="A273" s="14"/>
    </row>
    <row r="274">
      <c r="A274" s="14"/>
    </row>
    <row r="275">
      <c r="A275" s="14"/>
    </row>
    <row r="276">
      <c r="A276" s="14"/>
    </row>
    <row r="277">
      <c r="A277" s="14"/>
    </row>
    <row r="278">
      <c r="A278" s="14"/>
    </row>
    <row r="279">
      <c r="A279" s="14"/>
    </row>
    <row r="280">
      <c r="A280" s="14"/>
    </row>
    <row r="281">
      <c r="A281" s="14"/>
    </row>
    <row r="282">
      <c r="A282" s="14"/>
    </row>
    <row r="283">
      <c r="A283" s="14"/>
    </row>
    <row r="284">
      <c r="A284" s="14"/>
    </row>
    <row r="285">
      <c r="A285" s="14"/>
    </row>
    <row r="286">
      <c r="A286" s="14"/>
    </row>
    <row r="287">
      <c r="A287" s="14"/>
    </row>
    <row r="288">
      <c r="A288" s="14"/>
    </row>
    <row r="289">
      <c r="A289" s="14"/>
    </row>
    <row r="290">
      <c r="A290" s="14"/>
    </row>
    <row r="291">
      <c r="A291" s="14"/>
    </row>
    <row r="292">
      <c r="A292" s="14"/>
    </row>
    <row r="293">
      <c r="A293" s="14"/>
    </row>
    <row r="294">
      <c r="A294" s="14"/>
    </row>
    <row r="295">
      <c r="A295" s="14"/>
    </row>
    <row r="296">
      <c r="A296" s="14"/>
    </row>
    <row r="297">
      <c r="A297" s="14"/>
    </row>
    <row r="298">
      <c r="A298" s="14"/>
    </row>
    <row r="299">
      <c r="A299" s="14"/>
    </row>
    <row r="300">
      <c r="A300" s="14"/>
    </row>
    <row r="301">
      <c r="A301" s="14"/>
    </row>
    <row r="302">
      <c r="A302" s="14"/>
    </row>
    <row r="303">
      <c r="A303" s="14"/>
    </row>
    <row r="304">
      <c r="A304" s="14"/>
    </row>
    <row r="305">
      <c r="A305" s="14"/>
    </row>
    <row r="306">
      <c r="A306" s="14"/>
    </row>
    <row r="307">
      <c r="A307" s="14"/>
    </row>
    <row r="308">
      <c r="A308" s="14"/>
    </row>
    <row r="309">
      <c r="A309" s="14"/>
    </row>
    <row r="310">
      <c r="A310" s="14"/>
    </row>
    <row r="311">
      <c r="A311" s="14"/>
    </row>
    <row r="312">
      <c r="A312" s="14"/>
    </row>
    <row r="313">
      <c r="A313" s="14"/>
    </row>
    <row r="314">
      <c r="A314" s="14"/>
    </row>
    <row r="315">
      <c r="A315" s="14"/>
    </row>
    <row r="316">
      <c r="A316" s="14"/>
    </row>
    <row r="317">
      <c r="A317" s="14"/>
    </row>
    <row r="318">
      <c r="A318" s="14"/>
    </row>
    <row r="319">
      <c r="A319" s="14"/>
    </row>
    <row r="320">
      <c r="A320" s="14"/>
    </row>
    <row r="321">
      <c r="A321" s="14"/>
    </row>
    <row r="322">
      <c r="A322" s="14"/>
    </row>
    <row r="323">
      <c r="A323" s="14"/>
    </row>
    <row r="324">
      <c r="A324" s="14"/>
    </row>
    <row r="325">
      <c r="A325" s="14"/>
    </row>
    <row r="326">
      <c r="A326" s="14"/>
    </row>
    <row r="327">
      <c r="A327" s="14"/>
    </row>
    <row r="328">
      <c r="A328" s="14"/>
    </row>
    <row r="329">
      <c r="A329" s="14"/>
    </row>
    <row r="330">
      <c r="A330" s="14"/>
    </row>
    <row r="331">
      <c r="A331" s="14"/>
    </row>
    <row r="332">
      <c r="A332" s="14"/>
    </row>
    <row r="333">
      <c r="A333" s="14"/>
    </row>
    <row r="334">
      <c r="A334" s="14"/>
    </row>
    <row r="335">
      <c r="A335" s="14"/>
    </row>
    <row r="336">
      <c r="A336" s="14"/>
    </row>
    <row r="337">
      <c r="A337" s="14"/>
    </row>
    <row r="338">
      <c r="A338" s="14"/>
    </row>
    <row r="339">
      <c r="A339" s="14"/>
    </row>
    <row r="340">
      <c r="A340" s="14"/>
    </row>
    <row r="341">
      <c r="A341" s="14"/>
    </row>
    <row r="342">
      <c r="A342" s="14"/>
    </row>
    <row r="343">
      <c r="A343" s="14"/>
    </row>
    <row r="344">
      <c r="A344" s="14"/>
    </row>
    <row r="345">
      <c r="A345" s="14"/>
    </row>
    <row r="346">
      <c r="A346" s="14"/>
    </row>
    <row r="347">
      <c r="A347" s="14"/>
    </row>
    <row r="348">
      <c r="A348" s="14"/>
    </row>
    <row r="349">
      <c r="A349" s="14"/>
    </row>
    <row r="350">
      <c r="A350" s="14"/>
    </row>
    <row r="351">
      <c r="A351" s="14"/>
    </row>
    <row r="352">
      <c r="A352" s="14"/>
    </row>
    <row r="353">
      <c r="A353" s="14"/>
    </row>
    <row r="354">
      <c r="A354" s="14"/>
    </row>
    <row r="355">
      <c r="A355" s="14"/>
    </row>
    <row r="356">
      <c r="A356" s="14"/>
    </row>
    <row r="357">
      <c r="A357" s="14"/>
    </row>
    <row r="358">
      <c r="A358" s="14"/>
    </row>
    <row r="359">
      <c r="A359" s="14"/>
    </row>
    <row r="360">
      <c r="A360" s="14"/>
    </row>
    <row r="361">
      <c r="A361" s="14"/>
    </row>
    <row r="362">
      <c r="A362" s="14"/>
    </row>
    <row r="363">
      <c r="A363" s="14"/>
    </row>
    <row r="364">
      <c r="A364" s="14"/>
    </row>
    <row r="365">
      <c r="A365" s="14"/>
    </row>
    <row r="366">
      <c r="A366" s="14"/>
    </row>
    <row r="367">
      <c r="A367" s="14"/>
    </row>
    <row r="368">
      <c r="A368" s="14"/>
    </row>
    <row r="369">
      <c r="A369" s="14"/>
    </row>
    <row r="370">
      <c r="A370" s="14"/>
    </row>
    <row r="371">
      <c r="A371" s="14"/>
    </row>
    <row r="372">
      <c r="A372" s="14"/>
    </row>
    <row r="373">
      <c r="A373" s="14"/>
    </row>
    <row r="374">
      <c r="A374" s="14"/>
    </row>
    <row r="375">
      <c r="A375" s="14"/>
    </row>
    <row r="376">
      <c r="A376" s="14"/>
    </row>
    <row r="377">
      <c r="A377" s="14"/>
    </row>
    <row r="378">
      <c r="A378" s="14"/>
    </row>
    <row r="379">
      <c r="A379" s="14"/>
    </row>
    <row r="380">
      <c r="A380" s="14"/>
    </row>
    <row r="381">
      <c r="A381" s="14"/>
    </row>
    <row r="382">
      <c r="A382" s="14"/>
    </row>
    <row r="383">
      <c r="A383" s="14"/>
    </row>
    <row r="384">
      <c r="A384" s="14"/>
    </row>
    <row r="385">
      <c r="A385" s="14"/>
    </row>
    <row r="386">
      <c r="A386" s="14"/>
    </row>
    <row r="387">
      <c r="A387" s="14"/>
    </row>
    <row r="388">
      <c r="A388" s="14"/>
    </row>
    <row r="389">
      <c r="A389" s="14"/>
    </row>
    <row r="390">
      <c r="A390" s="14"/>
    </row>
    <row r="391">
      <c r="A391" s="14"/>
    </row>
    <row r="392">
      <c r="A392" s="14"/>
    </row>
    <row r="393">
      <c r="A393" s="14"/>
    </row>
    <row r="394">
      <c r="A394" s="14"/>
    </row>
    <row r="395">
      <c r="A395" s="14"/>
    </row>
    <row r="396">
      <c r="A396" s="14"/>
    </row>
    <row r="397">
      <c r="A397" s="14"/>
    </row>
    <row r="398">
      <c r="A398" s="14"/>
    </row>
    <row r="399">
      <c r="A399" s="14"/>
    </row>
    <row r="400">
      <c r="A400" s="14"/>
    </row>
    <row r="401">
      <c r="A401" s="14"/>
    </row>
    <row r="402">
      <c r="A402" s="14"/>
    </row>
    <row r="403">
      <c r="A403" s="14"/>
    </row>
    <row r="404">
      <c r="A404" s="14"/>
    </row>
    <row r="405">
      <c r="A405" s="14"/>
    </row>
    <row r="406">
      <c r="A406" s="14"/>
    </row>
    <row r="407">
      <c r="A407" s="14"/>
    </row>
    <row r="408">
      <c r="A408" s="14"/>
    </row>
    <row r="409">
      <c r="A409" s="14"/>
    </row>
    <row r="410">
      <c r="A410" s="14"/>
    </row>
    <row r="411">
      <c r="A411" s="14"/>
    </row>
    <row r="412">
      <c r="A412" s="14"/>
    </row>
    <row r="413">
      <c r="A413" s="14"/>
    </row>
    <row r="414">
      <c r="A414" s="14"/>
    </row>
    <row r="415">
      <c r="A415" s="14"/>
    </row>
    <row r="416">
      <c r="A416" s="14"/>
    </row>
    <row r="417">
      <c r="A417" s="14"/>
    </row>
    <row r="418">
      <c r="A418" s="14"/>
    </row>
    <row r="419">
      <c r="A419" s="14"/>
    </row>
    <row r="420">
      <c r="A420" s="14"/>
    </row>
    <row r="421">
      <c r="A421" s="14"/>
    </row>
    <row r="422">
      <c r="A422" s="14"/>
    </row>
    <row r="423">
      <c r="A423" s="14"/>
    </row>
    <row r="424">
      <c r="A424" s="14"/>
    </row>
    <row r="425">
      <c r="A425" s="14"/>
    </row>
    <row r="426">
      <c r="A426" s="14"/>
    </row>
    <row r="427">
      <c r="A427" s="14"/>
    </row>
    <row r="428">
      <c r="A428" s="14"/>
    </row>
    <row r="429">
      <c r="A429" s="14"/>
    </row>
    <row r="430">
      <c r="A430" s="14"/>
    </row>
    <row r="431">
      <c r="A431" s="14"/>
    </row>
    <row r="432">
      <c r="A432" s="14"/>
    </row>
    <row r="433">
      <c r="A433" s="14"/>
    </row>
    <row r="434">
      <c r="A434" s="14"/>
    </row>
    <row r="435">
      <c r="A435" s="14"/>
    </row>
    <row r="436">
      <c r="A436" s="14"/>
    </row>
    <row r="437">
      <c r="A437" s="14"/>
    </row>
    <row r="438">
      <c r="A438" s="14"/>
    </row>
    <row r="439">
      <c r="A439" s="14"/>
    </row>
    <row r="440">
      <c r="A440" s="14"/>
    </row>
    <row r="441">
      <c r="A441" s="14"/>
    </row>
    <row r="442">
      <c r="A442" s="14"/>
    </row>
    <row r="443">
      <c r="A443" s="14"/>
    </row>
    <row r="444">
      <c r="A444" s="14"/>
    </row>
    <row r="445">
      <c r="A445" s="14"/>
    </row>
    <row r="446">
      <c r="A446" s="14"/>
    </row>
    <row r="447">
      <c r="A447" s="14"/>
    </row>
    <row r="448">
      <c r="A448" s="14"/>
    </row>
    <row r="449">
      <c r="A449" s="14"/>
    </row>
    <row r="450">
      <c r="A450" s="14"/>
    </row>
    <row r="451">
      <c r="A451" s="14"/>
    </row>
    <row r="452">
      <c r="A452" s="14"/>
    </row>
    <row r="453">
      <c r="A453" s="14"/>
    </row>
    <row r="454">
      <c r="A454" s="14"/>
    </row>
    <row r="455">
      <c r="A455" s="14"/>
    </row>
    <row r="456">
      <c r="A456" s="14"/>
    </row>
    <row r="457">
      <c r="A457" s="14"/>
    </row>
    <row r="458">
      <c r="A458" s="14"/>
    </row>
    <row r="459">
      <c r="A459" s="14"/>
    </row>
    <row r="460">
      <c r="A460" s="14"/>
    </row>
    <row r="461">
      <c r="A461" s="14"/>
    </row>
    <row r="462">
      <c r="A462" s="14"/>
    </row>
    <row r="463">
      <c r="A463" s="14"/>
    </row>
    <row r="464">
      <c r="A464" s="14"/>
    </row>
    <row r="465">
      <c r="A465" s="14"/>
    </row>
    <row r="466">
      <c r="A466" s="14"/>
    </row>
    <row r="467">
      <c r="A467" s="14"/>
    </row>
    <row r="468">
      <c r="A468" s="14"/>
    </row>
    <row r="469">
      <c r="A469" s="14"/>
    </row>
    <row r="470">
      <c r="A470" s="14"/>
    </row>
    <row r="471">
      <c r="A471" s="14"/>
    </row>
    <row r="472">
      <c r="A472" s="14"/>
    </row>
    <row r="473">
      <c r="A473" s="14"/>
    </row>
    <row r="474">
      <c r="A474" s="14"/>
    </row>
    <row r="475">
      <c r="A475" s="14"/>
    </row>
    <row r="476">
      <c r="A476" s="14"/>
    </row>
    <row r="477">
      <c r="A477" s="14"/>
    </row>
    <row r="478">
      <c r="A478" s="14"/>
    </row>
    <row r="479">
      <c r="A479" s="14"/>
    </row>
    <row r="480">
      <c r="A480" s="14"/>
    </row>
    <row r="481">
      <c r="A481" s="14"/>
    </row>
    <row r="482">
      <c r="A482" s="14"/>
    </row>
    <row r="483">
      <c r="A483" s="14"/>
    </row>
    <row r="484">
      <c r="A484" s="14"/>
    </row>
    <row r="485">
      <c r="A485" s="14"/>
    </row>
    <row r="486">
      <c r="A486" s="14"/>
    </row>
    <row r="487">
      <c r="A487" s="14"/>
    </row>
    <row r="488">
      <c r="A488" s="14"/>
    </row>
    <row r="489">
      <c r="A489" s="14"/>
    </row>
    <row r="490">
      <c r="A490" s="14"/>
    </row>
    <row r="491">
      <c r="A491" s="14"/>
    </row>
    <row r="492">
      <c r="A492" s="14"/>
    </row>
    <row r="493">
      <c r="A493" s="14"/>
    </row>
    <row r="494">
      <c r="A494" s="14"/>
    </row>
    <row r="495">
      <c r="A495" s="14"/>
    </row>
    <row r="496">
      <c r="A496" s="14"/>
    </row>
    <row r="497">
      <c r="A497" s="14"/>
    </row>
    <row r="498">
      <c r="A498" s="14"/>
    </row>
    <row r="499">
      <c r="A499" s="14"/>
    </row>
    <row r="500">
      <c r="A500" s="14"/>
    </row>
    <row r="501">
      <c r="A501" s="14"/>
    </row>
    <row r="502">
      <c r="A502" s="14"/>
    </row>
    <row r="503">
      <c r="A503" s="14"/>
    </row>
    <row r="504">
      <c r="A504" s="14"/>
    </row>
    <row r="505">
      <c r="A505" s="14"/>
    </row>
    <row r="506">
      <c r="A506" s="14"/>
    </row>
    <row r="507">
      <c r="A507" s="14"/>
    </row>
    <row r="508">
      <c r="A508" s="14"/>
    </row>
    <row r="509">
      <c r="A509" s="14"/>
    </row>
    <row r="510">
      <c r="A510" s="14"/>
    </row>
    <row r="511">
      <c r="A511" s="14"/>
    </row>
    <row r="512">
      <c r="A512" s="14"/>
    </row>
    <row r="513">
      <c r="A513" s="14"/>
    </row>
    <row r="514">
      <c r="A514" s="14"/>
    </row>
    <row r="515">
      <c r="A515" s="14"/>
    </row>
    <row r="516">
      <c r="A516" s="14"/>
    </row>
    <row r="517">
      <c r="A517" s="14"/>
    </row>
    <row r="518">
      <c r="A518" s="14"/>
    </row>
    <row r="519">
      <c r="A519" s="14"/>
    </row>
    <row r="520">
      <c r="A520" s="14"/>
    </row>
    <row r="521">
      <c r="A521" s="14"/>
    </row>
    <row r="522">
      <c r="A522" s="14"/>
    </row>
    <row r="523">
      <c r="A523" s="14"/>
    </row>
    <row r="524">
      <c r="A524" s="14"/>
    </row>
    <row r="525">
      <c r="A525" s="14"/>
    </row>
    <row r="526">
      <c r="A526" s="14"/>
    </row>
    <row r="527">
      <c r="A527" s="14"/>
    </row>
    <row r="528">
      <c r="A528" s="14"/>
    </row>
    <row r="529">
      <c r="A529" s="14"/>
    </row>
    <row r="530">
      <c r="A530" s="14"/>
    </row>
    <row r="531">
      <c r="A531" s="14"/>
    </row>
    <row r="532">
      <c r="A532" s="14"/>
    </row>
    <row r="533">
      <c r="A533" s="14"/>
    </row>
    <row r="534">
      <c r="A534" s="14"/>
    </row>
    <row r="535">
      <c r="A535" s="14"/>
    </row>
    <row r="536">
      <c r="A536" s="14"/>
    </row>
    <row r="537">
      <c r="A537" s="14"/>
    </row>
    <row r="538">
      <c r="A538" s="14"/>
    </row>
    <row r="539">
      <c r="A539" s="14"/>
    </row>
    <row r="540">
      <c r="A540" s="14"/>
    </row>
    <row r="541">
      <c r="A541" s="14"/>
    </row>
    <row r="542">
      <c r="A542" s="14"/>
    </row>
    <row r="543">
      <c r="A543" s="14"/>
    </row>
    <row r="544">
      <c r="A544" s="14"/>
    </row>
    <row r="545">
      <c r="A545" s="14"/>
    </row>
    <row r="546">
      <c r="A546" s="14"/>
    </row>
    <row r="547">
      <c r="A547" s="14"/>
    </row>
    <row r="548">
      <c r="A548" s="14"/>
    </row>
    <row r="549">
      <c r="A549" s="14"/>
    </row>
    <row r="550">
      <c r="A550" s="14"/>
    </row>
    <row r="551">
      <c r="A551" s="14"/>
    </row>
    <row r="552">
      <c r="A552" s="14"/>
    </row>
    <row r="553">
      <c r="A553" s="14"/>
    </row>
    <row r="554">
      <c r="A554" s="14"/>
    </row>
    <row r="555">
      <c r="A555" s="14"/>
    </row>
    <row r="556">
      <c r="A556" s="14"/>
    </row>
    <row r="557">
      <c r="A557" s="14"/>
    </row>
    <row r="558">
      <c r="A558" s="14"/>
    </row>
    <row r="559">
      <c r="A559" s="14"/>
    </row>
    <row r="560">
      <c r="A560" s="14"/>
    </row>
    <row r="561">
      <c r="A561" s="14"/>
    </row>
    <row r="562">
      <c r="A562" s="14"/>
    </row>
    <row r="563">
      <c r="A563" s="14"/>
    </row>
    <row r="564">
      <c r="A564" s="14"/>
    </row>
    <row r="565">
      <c r="A565" s="14"/>
    </row>
    <row r="566">
      <c r="A566" s="14"/>
    </row>
    <row r="567">
      <c r="A567" s="14"/>
    </row>
    <row r="568">
      <c r="A568" s="14"/>
    </row>
    <row r="569">
      <c r="A569" s="14"/>
    </row>
    <row r="570">
      <c r="A570" s="14"/>
    </row>
    <row r="571">
      <c r="A571" s="14"/>
    </row>
    <row r="572">
      <c r="A572" s="14"/>
    </row>
    <row r="573">
      <c r="A573" s="14"/>
    </row>
    <row r="574">
      <c r="A574" s="14"/>
    </row>
    <row r="575">
      <c r="A575" s="14"/>
    </row>
    <row r="576">
      <c r="A576" s="14"/>
    </row>
    <row r="577">
      <c r="A577" s="14"/>
    </row>
    <row r="578">
      <c r="A578" s="14"/>
    </row>
    <row r="579">
      <c r="A579" s="14"/>
    </row>
    <row r="580">
      <c r="A580" s="14"/>
    </row>
    <row r="581">
      <c r="A581" s="14"/>
    </row>
    <row r="582">
      <c r="A582" s="14"/>
    </row>
    <row r="583">
      <c r="A583" s="14"/>
    </row>
    <row r="584">
      <c r="A584" s="14"/>
    </row>
    <row r="585">
      <c r="A585" s="14"/>
    </row>
    <row r="586">
      <c r="A586" s="14"/>
    </row>
    <row r="587">
      <c r="A587" s="14"/>
    </row>
    <row r="588">
      <c r="A588" s="14"/>
    </row>
    <row r="589">
      <c r="A589" s="14"/>
    </row>
    <row r="590">
      <c r="A590" s="14"/>
    </row>
    <row r="591">
      <c r="A591" s="14"/>
    </row>
    <row r="592">
      <c r="A592" s="14"/>
    </row>
    <row r="593">
      <c r="A593" s="14"/>
    </row>
    <row r="594">
      <c r="A594" s="14"/>
    </row>
    <row r="595">
      <c r="A595" s="14"/>
    </row>
    <row r="596">
      <c r="A596" s="14"/>
    </row>
    <row r="597">
      <c r="A597" s="14"/>
    </row>
    <row r="598">
      <c r="A598" s="14"/>
    </row>
    <row r="599">
      <c r="A599" s="14"/>
    </row>
    <row r="600">
      <c r="A600" s="14"/>
    </row>
    <row r="601">
      <c r="A601" s="14"/>
    </row>
    <row r="602">
      <c r="A602" s="14"/>
    </row>
    <row r="603">
      <c r="A603" s="14"/>
    </row>
    <row r="604">
      <c r="A604" s="14"/>
    </row>
    <row r="605">
      <c r="A605" s="14"/>
    </row>
    <row r="606">
      <c r="A606" s="14"/>
    </row>
    <row r="607">
      <c r="A607" s="14"/>
    </row>
    <row r="608">
      <c r="A608" s="14"/>
    </row>
    <row r="609">
      <c r="A609" s="14"/>
    </row>
    <row r="610">
      <c r="A610" s="14"/>
    </row>
    <row r="611">
      <c r="A611" s="14"/>
    </row>
    <row r="612">
      <c r="A612" s="14"/>
    </row>
    <row r="613">
      <c r="A613" s="14"/>
    </row>
    <row r="614">
      <c r="A614" s="14"/>
    </row>
    <row r="615">
      <c r="A615" s="14"/>
    </row>
    <row r="616">
      <c r="A616" s="14"/>
    </row>
    <row r="617">
      <c r="A617" s="14"/>
    </row>
    <row r="618">
      <c r="A618" s="14"/>
    </row>
    <row r="619">
      <c r="A619" s="14"/>
    </row>
    <row r="620">
      <c r="A620" s="14"/>
    </row>
    <row r="621">
      <c r="A621" s="14"/>
    </row>
    <row r="622">
      <c r="A622" s="14"/>
    </row>
    <row r="623">
      <c r="A623" s="14"/>
    </row>
    <row r="624">
      <c r="A624" s="14"/>
    </row>
    <row r="625">
      <c r="A625" s="14"/>
    </row>
    <row r="626">
      <c r="A626" s="14"/>
    </row>
    <row r="627">
      <c r="A627" s="14"/>
    </row>
    <row r="628">
      <c r="A628" s="14"/>
    </row>
    <row r="629">
      <c r="A629" s="14"/>
    </row>
    <row r="630">
      <c r="A630" s="14"/>
    </row>
    <row r="631">
      <c r="A631" s="14"/>
    </row>
    <row r="632">
      <c r="A632" s="14"/>
    </row>
    <row r="633">
      <c r="A633" s="14"/>
    </row>
    <row r="634">
      <c r="A634" s="14"/>
    </row>
    <row r="635">
      <c r="A635" s="14"/>
    </row>
    <row r="636">
      <c r="A636" s="14"/>
    </row>
    <row r="637">
      <c r="A637" s="14"/>
    </row>
    <row r="638">
      <c r="A638" s="14"/>
    </row>
    <row r="639">
      <c r="A639" s="14"/>
    </row>
    <row r="640">
      <c r="A640" s="14"/>
    </row>
    <row r="641">
      <c r="A641" s="14"/>
    </row>
    <row r="642">
      <c r="A642" s="14"/>
    </row>
    <row r="643">
      <c r="A643" s="14"/>
    </row>
    <row r="644">
      <c r="A644" s="14"/>
    </row>
    <row r="645">
      <c r="A645" s="14"/>
    </row>
    <row r="646">
      <c r="A646" s="14"/>
    </row>
    <row r="647">
      <c r="A647" s="14"/>
    </row>
    <row r="648">
      <c r="A648" s="14"/>
    </row>
    <row r="649">
      <c r="A649" s="14"/>
    </row>
    <row r="650">
      <c r="A650" s="14"/>
    </row>
    <row r="651">
      <c r="A651" s="14"/>
    </row>
    <row r="652">
      <c r="A652" s="14"/>
    </row>
    <row r="653">
      <c r="A653" s="14"/>
    </row>
    <row r="654">
      <c r="A654" s="14"/>
    </row>
    <row r="655">
      <c r="A655" s="14"/>
    </row>
    <row r="656">
      <c r="A656" s="14"/>
    </row>
    <row r="657">
      <c r="A657" s="14"/>
    </row>
    <row r="658">
      <c r="A658" s="14"/>
    </row>
    <row r="659">
      <c r="A659" s="14"/>
    </row>
    <row r="660">
      <c r="A660" s="14"/>
    </row>
    <row r="661">
      <c r="A661" s="14"/>
    </row>
    <row r="662">
      <c r="A662" s="14"/>
    </row>
    <row r="663">
      <c r="A663" s="14"/>
    </row>
    <row r="664">
      <c r="A664" s="14"/>
    </row>
    <row r="665">
      <c r="A665" s="14"/>
    </row>
    <row r="666">
      <c r="A666" s="14"/>
    </row>
    <row r="667">
      <c r="A667" s="14"/>
    </row>
    <row r="668">
      <c r="A668" s="14"/>
    </row>
    <row r="669">
      <c r="A669" s="14"/>
    </row>
    <row r="670">
      <c r="A670" s="14"/>
    </row>
    <row r="671">
      <c r="A671" s="14"/>
    </row>
    <row r="672">
      <c r="A672" s="14"/>
    </row>
    <row r="673">
      <c r="A673" s="14"/>
    </row>
    <row r="674">
      <c r="A674" s="14"/>
    </row>
    <row r="675">
      <c r="A675" s="14"/>
    </row>
    <row r="676">
      <c r="A676" s="14"/>
    </row>
    <row r="677">
      <c r="A677" s="14"/>
    </row>
    <row r="678">
      <c r="A678" s="14"/>
    </row>
    <row r="679">
      <c r="A679" s="14"/>
    </row>
    <row r="680">
      <c r="A680" s="14"/>
    </row>
    <row r="681">
      <c r="A681" s="14"/>
    </row>
    <row r="682">
      <c r="A682" s="14"/>
    </row>
    <row r="683">
      <c r="A683" s="14"/>
    </row>
    <row r="684">
      <c r="A684" s="14"/>
    </row>
    <row r="685">
      <c r="A685" s="14"/>
    </row>
    <row r="686">
      <c r="A686" s="14"/>
    </row>
    <row r="687">
      <c r="A687" s="14"/>
    </row>
    <row r="688">
      <c r="A688" s="14"/>
    </row>
    <row r="689">
      <c r="A689" s="14"/>
    </row>
    <row r="690">
      <c r="A690" s="14"/>
    </row>
    <row r="691">
      <c r="A691" s="14"/>
    </row>
    <row r="692">
      <c r="A692" s="14"/>
    </row>
    <row r="693">
      <c r="A693" s="14"/>
    </row>
    <row r="694">
      <c r="A694" s="14"/>
    </row>
    <row r="695">
      <c r="A695" s="14"/>
    </row>
    <row r="696">
      <c r="A696" s="14"/>
    </row>
    <row r="697">
      <c r="A697" s="14"/>
    </row>
    <row r="698">
      <c r="A698" s="14"/>
    </row>
    <row r="699">
      <c r="A699" s="14"/>
    </row>
    <row r="700">
      <c r="A700" s="14"/>
    </row>
    <row r="701">
      <c r="A701" s="14"/>
    </row>
    <row r="702">
      <c r="A702" s="14"/>
    </row>
    <row r="703">
      <c r="A703" s="14"/>
    </row>
    <row r="704">
      <c r="A704" s="14"/>
    </row>
    <row r="705">
      <c r="A705" s="14"/>
    </row>
    <row r="706">
      <c r="A706" s="14"/>
    </row>
    <row r="707">
      <c r="A707" s="14"/>
    </row>
    <row r="708">
      <c r="A708" s="14"/>
    </row>
    <row r="709">
      <c r="A709" s="14"/>
    </row>
    <row r="710">
      <c r="A710" s="14"/>
    </row>
    <row r="711">
      <c r="A711" s="14"/>
    </row>
    <row r="712">
      <c r="A712" s="14"/>
    </row>
    <row r="713">
      <c r="A713" s="14"/>
    </row>
    <row r="714">
      <c r="A714" s="14"/>
    </row>
    <row r="715">
      <c r="A715" s="14"/>
    </row>
    <row r="716">
      <c r="A716" s="14"/>
    </row>
    <row r="717">
      <c r="A717" s="14"/>
    </row>
    <row r="718">
      <c r="A718" s="14"/>
    </row>
    <row r="719">
      <c r="A719" s="14"/>
    </row>
    <row r="720">
      <c r="A720" s="14"/>
    </row>
    <row r="721">
      <c r="A721" s="14"/>
    </row>
    <row r="722">
      <c r="A722" s="14"/>
    </row>
    <row r="723">
      <c r="A723" s="14"/>
    </row>
    <row r="724">
      <c r="A724" s="14"/>
    </row>
    <row r="725">
      <c r="A725" s="14"/>
    </row>
    <row r="726">
      <c r="A726" s="14"/>
    </row>
    <row r="727">
      <c r="A727" s="14"/>
    </row>
    <row r="728">
      <c r="A728" s="14"/>
    </row>
    <row r="729">
      <c r="A729" s="14"/>
    </row>
    <row r="730">
      <c r="A730" s="14"/>
    </row>
    <row r="731">
      <c r="A731" s="14"/>
    </row>
    <row r="732">
      <c r="A732" s="14"/>
    </row>
    <row r="733">
      <c r="A733" s="14"/>
    </row>
    <row r="734">
      <c r="A734" s="14"/>
    </row>
    <row r="735">
      <c r="A735" s="14"/>
    </row>
    <row r="736">
      <c r="A736" s="14"/>
    </row>
    <row r="737">
      <c r="A737" s="14"/>
    </row>
    <row r="738">
      <c r="A738" s="14"/>
    </row>
    <row r="739">
      <c r="A739" s="14"/>
    </row>
    <row r="740">
      <c r="A740" s="14"/>
    </row>
    <row r="741">
      <c r="A741" s="14"/>
    </row>
    <row r="742">
      <c r="A742" s="14"/>
    </row>
    <row r="743">
      <c r="A743" s="14"/>
    </row>
    <row r="744">
      <c r="A744" s="14"/>
    </row>
    <row r="745">
      <c r="A745" s="14"/>
    </row>
    <row r="746">
      <c r="A746" s="14"/>
    </row>
    <row r="747">
      <c r="A747" s="14"/>
    </row>
    <row r="748">
      <c r="A748" s="14"/>
    </row>
    <row r="749">
      <c r="A749" s="14"/>
    </row>
    <row r="750">
      <c r="A750" s="14"/>
    </row>
    <row r="751">
      <c r="A751" s="14"/>
    </row>
    <row r="752">
      <c r="A752" s="14"/>
    </row>
    <row r="753">
      <c r="A753" s="14"/>
    </row>
    <row r="754">
      <c r="A754" s="14"/>
    </row>
    <row r="755">
      <c r="A755" s="14"/>
    </row>
    <row r="756">
      <c r="A756" s="14"/>
    </row>
    <row r="757">
      <c r="A757" s="14"/>
    </row>
    <row r="758">
      <c r="A758" s="14"/>
    </row>
    <row r="759">
      <c r="A759" s="14"/>
    </row>
    <row r="760">
      <c r="A760" s="14"/>
    </row>
    <row r="761">
      <c r="A761" s="14"/>
    </row>
    <row r="762">
      <c r="A762" s="14"/>
    </row>
    <row r="763">
      <c r="A763" s="14"/>
    </row>
    <row r="764">
      <c r="A764" s="14"/>
    </row>
    <row r="765">
      <c r="A765" s="14"/>
    </row>
    <row r="766">
      <c r="A766" s="14"/>
    </row>
    <row r="767">
      <c r="A767" s="14"/>
    </row>
    <row r="768">
      <c r="A768" s="14"/>
    </row>
    <row r="769">
      <c r="A769" s="14"/>
    </row>
    <row r="770">
      <c r="A770" s="14"/>
    </row>
    <row r="771">
      <c r="A771" s="14"/>
    </row>
    <row r="772">
      <c r="A772" s="14"/>
    </row>
    <row r="773">
      <c r="A773" s="14"/>
    </row>
    <row r="774">
      <c r="A774" s="14"/>
    </row>
    <row r="775">
      <c r="A775" s="14"/>
    </row>
    <row r="776">
      <c r="A776" s="14"/>
    </row>
    <row r="777">
      <c r="A777" s="14"/>
    </row>
    <row r="778">
      <c r="A778" s="14"/>
    </row>
    <row r="779">
      <c r="A779" s="14"/>
    </row>
    <row r="780">
      <c r="A780" s="14"/>
    </row>
    <row r="781">
      <c r="A781" s="14"/>
    </row>
    <row r="782">
      <c r="A782" s="14"/>
    </row>
    <row r="783">
      <c r="A783" s="14"/>
    </row>
    <row r="784">
      <c r="A784" s="14"/>
    </row>
    <row r="785">
      <c r="A785" s="14"/>
    </row>
    <row r="786">
      <c r="A786" s="14"/>
    </row>
    <row r="787">
      <c r="A787" s="14"/>
    </row>
    <row r="788">
      <c r="A788" s="14"/>
    </row>
    <row r="789">
      <c r="A789" s="14"/>
    </row>
    <row r="790">
      <c r="A790" s="14"/>
    </row>
    <row r="791">
      <c r="A791" s="14"/>
    </row>
    <row r="792">
      <c r="A792" s="14"/>
    </row>
    <row r="793">
      <c r="A793" s="14"/>
    </row>
    <row r="794">
      <c r="A794" s="14"/>
    </row>
    <row r="795">
      <c r="A795" s="14"/>
    </row>
    <row r="796">
      <c r="A796" s="14"/>
    </row>
    <row r="797">
      <c r="A797" s="14"/>
    </row>
    <row r="798">
      <c r="A798" s="14"/>
    </row>
    <row r="799">
      <c r="A799" s="14"/>
    </row>
    <row r="800">
      <c r="A800" s="14"/>
    </row>
    <row r="801">
      <c r="A801" s="14"/>
    </row>
    <row r="802">
      <c r="A802" s="14"/>
    </row>
    <row r="803">
      <c r="A803" s="14"/>
    </row>
    <row r="804">
      <c r="A804" s="14"/>
    </row>
    <row r="805">
      <c r="A805" s="14"/>
    </row>
    <row r="806">
      <c r="A806" s="14"/>
    </row>
    <row r="807">
      <c r="A807" s="14"/>
    </row>
    <row r="808">
      <c r="A808" s="14"/>
    </row>
    <row r="809">
      <c r="A809" s="14"/>
    </row>
    <row r="810">
      <c r="A810" s="14"/>
    </row>
    <row r="811">
      <c r="A811" s="14"/>
    </row>
    <row r="812">
      <c r="A812" s="14"/>
    </row>
    <row r="813">
      <c r="A813" s="14"/>
    </row>
    <row r="814">
      <c r="A814" s="14"/>
    </row>
    <row r="815">
      <c r="A815" s="14"/>
    </row>
    <row r="816">
      <c r="A816" s="14"/>
    </row>
    <row r="817">
      <c r="A817" s="14"/>
    </row>
    <row r="818">
      <c r="A818" s="14"/>
    </row>
    <row r="819">
      <c r="A819" s="14"/>
    </row>
    <row r="820">
      <c r="A820" s="14"/>
    </row>
    <row r="821">
      <c r="A821" s="14"/>
    </row>
    <row r="822">
      <c r="A822" s="14"/>
    </row>
    <row r="823">
      <c r="A823" s="14"/>
    </row>
    <row r="824">
      <c r="A824" s="14"/>
    </row>
    <row r="825">
      <c r="A825" s="14"/>
    </row>
    <row r="826">
      <c r="A826" s="14"/>
    </row>
    <row r="827">
      <c r="A827" s="14"/>
    </row>
    <row r="828">
      <c r="A828" s="14"/>
    </row>
    <row r="829">
      <c r="A829" s="14"/>
    </row>
    <row r="830">
      <c r="A830" s="14"/>
    </row>
    <row r="831">
      <c r="A831" s="14"/>
    </row>
    <row r="832">
      <c r="A832" s="14"/>
    </row>
    <row r="833">
      <c r="A833" s="14"/>
    </row>
    <row r="834">
      <c r="A834" s="14"/>
    </row>
    <row r="835">
      <c r="A835" s="14"/>
    </row>
    <row r="836">
      <c r="A836" s="14"/>
    </row>
    <row r="837">
      <c r="A837" s="14"/>
    </row>
    <row r="838">
      <c r="A838" s="14"/>
    </row>
    <row r="839">
      <c r="A839" s="14"/>
    </row>
    <row r="840">
      <c r="A840" s="14"/>
    </row>
    <row r="841">
      <c r="A841" s="14"/>
    </row>
    <row r="842">
      <c r="A842" s="14"/>
    </row>
    <row r="843">
      <c r="A843" s="14"/>
    </row>
    <row r="844">
      <c r="A844" s="14"/>
    </row>
    <row r="845">
      <c r="A845" s="14"/>
    </row>
    <row r="846">
      <c r="A846" s="14"/>
    </row>
    <row r="847">
      <c r="A847" s="14"/>
    </row>
    <row r="848">
      <c r="A848" s="14"/>
    </row>
    <row r="849">
      <c r="A849" s="14"/>
    </row>
    <row r="850">
      <c r="A850" s="14"/>
    </row>
    <row r="851">
      <c r="A851" s="14"/>
    </row>
    <row r="852">
      <c r="A852" s="14"/>
    </row>
    <row r="853">
      <c r="A853" s="14"/>
    </row>
    <row r="854">
      <c r="A854" s="14"/>
    </row>
    <row r="855">
      <c r="A855" s="14"/>
    </row>
    <row r="856">
      <c r="A856" s="14"/>
    </row>
    <row r="857">
      <c r="A857" s="14"/>
    </row>
    <row r="858">
      <c r="A858" s="14"/>
    </row>
    <row r="859">
      <c r="A859" s="14"/>
    </row>
    <row r="860">
      <c r="A860" s="14"/>
    </row>
    <row r="861">
      <c r="A861" s="14"/>
    </row>
    <row r="862">
      <c r="A862" s="14"/>
    </row>
    <row r="863">
      <c r="A863" s="14"/>
    </row>
    <row r="864">
      <c r="A864" s="14"/>
    </row>
    <row r="865">
      <c r="A865" s="14"/>
    </row>
    <row r="866">
      <c r="A866" s="14"/>
    </row>
    <row r="867">
      <c r="A867" s="14"/>
    </row>
    <row r="868">
      <c r="A868" s="14"/>
    </row>
    <row r="869">
      <c r="A869" s="14"/>
    </row>
    <row r="870">
      <c r="A870" s="14"/>
    </row>
    <row r="871">
      <c r="A871" s="14"/>
    </row>
    <row r="872">
      <c r="A872" s="14"/>
    </row>
    <row r="873">
      <c r="A873" s="14"/>
    </row>
    <row r="874">
      <c r="A874" s="14"/>
    </row>
    <row r="875">
      <c r="A875" s="14"/>
    </row>
    <row r="876">
      <c r="A876" s="14"/>
    </row>
    <row r="877">
      <c r="A877" s="14"/>
    </row>
    <row r="878">
      <c r="A878" s="14"/>
    </row>
    <row r="879">
      <c r="A879" s="14"/>
    </row>
    <row r="880">
      <c r="A880" s="14"/>
    </row>
    <row r="881">
      <c r="A881" s="14"/>
    </row>
    <row r="882">
      <c r="A882" s="14"/>
    </row>
    <row r="883">
      <c r="A883" s="14"/>
    </row>
    <row r="884">
      <c r="A884" s="14"/>
    </row>
    <row r="885">
      <c r="A885" s="14"/>
    </row>
    <row r="886">
      <c r="A886" s="14"/>
    </row>
    <row r="887">
      <c r="A887" s="14"/>
    </row>
    <row r="888">
      <c r="A888" s="14"/>
    </row>
    <row r="889">
      <c r="A889" s="14"/>
    </row>
    <row r="890">
      <c r="A890" s="14"/>
    </row>
    <row r="891">
      <c r="A891" s="14"/>
    </row>
    <row r="892">
      <c r="A892" s="14"/>
    </row>
    <row r="893">
      <c r="A893" s="14"/>
    </row>
    <row r="894">
      <c r="A894" s="14"/>
    </row>
    <row r="895">
      <c r="A895" s="14"/>
    </row>
    <row r="896">
      <c r="A896" s="14"/>
    </row>
    <row r="897">
      <c r="A897" s="14"/>
    </row>
    <row r="898">
      <c r="A898" s="14"/>
    </row>
    <row r="899">
      <c r="A899" s="14"/>
    </row>
    <row r="900">
      <c r="A900" s="14"/>
    </row>
    <row r="901">
      <c r="A901" s="14"/>
    </row>
    <row r="902">
      <c r="A902" s="14"/>
    </row>
    <row r="903">
      <c r="A903" s="14"/>
    </row>
    <row r="904">
      <c r="A904" s="14"/>
    </row>
    <row r="905">
      <c r="A905" s="14"/>
    </row>
    <row r="906">
      <c r="A906" s="14"/>
    </row>
    <row r="907">
      <c r="A907" s="14"/>
    </row>
    <row r="908">
      <c r="A908" s="14"/>
    </row>
    <row r="909">
      <c r="A909" s="14"/>
    </row>
    <row r="910">
      <c r="A910" s="14"/>
    </row>
    <row r="911">
      <c r="A911" s="14"/>
    </row>
    <row r="912">
      <c r="A912" s="14"/>
    </row>
    <row r="913">
      <c r="A913" s="14"/>
    </row>
    <row r="914">
      <c r="A914" s="14"/>
    </row>
    <row r="915">
      <c r="A915" s="14"/>
    </row>
    <row r="916">
      <c r="A916" s="14"/>
    </row>
    <row r="917">
      <c r="A917" s="14"/>
    </row>
    <row r="918">
      <c r="A918" s="14"/>
    </row>
    <row r="919">
      <c r="A919" s="14"/>
    </row>
    <row r="920">
      <c r="A920" s="14"/>
    </row>
    <row r="921">
      <c r="A921" s="14"/>
    </row>
    <row r="922">
      <c r="A922" s="14"/>
    </row>
    <row r="923">
      <c r="A923" s="14"/>
    </row>
    <row r="924">
      <c r="A924" s="14"/>
    </row>
    <row r="925">
      <c r="A925" s="14"/>
    </row>
    <row r="926">
      <c r="A926" s="14"/>
    </row>
    <row r="927">
      <c r="A927" s="14"/>
    </row>
    <row r="928">
      <c r="A928" s="14"/>
    </row>
    <row r="929">
      <c r="A929" s="14"/>
    </row>
    <row r="930">
      <c r="A930" s="14"/>
    </row>
    <row r="931">
      <c r="A931" s="14"/>
    </row>
    <row r="932">
      <c r="A932" s="14"/>
    </row>
    <row r="933">
      <c r="A933" s="14"/>
    </row>
    <row r="934">
      <c r="A934" s="14"/>
    </row>
    <row r="935">
      <c r="A935" s="14"/>
    </row>
    <row r="936">
      <c r="A936" s="14"/>
    </row>
    <row r="937">
      <c r="A937" s="14"/>
    </row>
    <row r="938">
      <c r="A938" s="14"/>
    </row>
    <row r="939">
      <c r="A939" s="14"/>
    </row>
    <row r="940">
      <c r="A940" s="14"/>
    </row>
    <row r="941">
      <c r="A941" s="14"/>
    </row>
    <row r="942">
      <c r="A942" s="14"/>
    </row>
    <row r="943">
      <c r="A943" s="14"/>
    </row>
    <row r="944">
      <c r="A944" s="14"/>
    </row>
    <row r="945">
      <c r="A945" s="14"/>
    </row>
    <row r="946">
      <c r="A946" s="14"/>
    </row>
    <row r="947">
      <c r="A947" s="14"/>
    </row>
    <row r="948">
      <c r="A948" s="14"/>
    </row>
    <row r="949">
      <c r="A949" s="14"/>
    </row>
    <row r="950">
      <c r="A950" s="14"/>
    </row>
    <row r="951">
      <c r="A951" s="14"/>
    </row>
    <row r="952">
      <c r="A952" s="14"/>
    </row>
    <row r="953">
      <c r="A953" s="14"/>
    </row>
    <row r="954">
      <c r="A954" s="14"/>
    </row>
    <row r="955">
      <c r="A955" s="14"/>
    </row>
    <row r="956">
      <c r="A956" s="14"/>
    </row>
    <row r="957">
      <c r="A957" s="14"/>
    </row>
    <row r="958">
      <c r="A958" s="14"/>
    </row>
    <row r="959">
      <c r="A959" s="14"/>
    </row>
    <row r="960">
      <c r="A960" s="14"/>
    </row>
    <row r="961">
      <c r="A961" s="14"/>
    </row>
    <row r="962">
      <c r="A962" s="14"/>
    </row>
    <row r="963">
      <c r="A963" s="14"/>
    </row>
    <row r="964">
      <c r="A964" s="14"/>
    </row>
    <row r="965">
      <c r="A965" s="14"/>
    </row>
    <row r="966">
      <c r="A966" s="14"/>
    </row>
    <row r="967">
      <c r="A967" s="14"/>
    </row>
    <row r="968">
      <c r="A968" s="14"/>
    </row>
    <row r="969">
      <c r="A969" s="14"/>
    </row>
    <row r="970">
      <c r="A970" s="14"/>
    </row>
    <row r="971">
      <c r="A971" s="14"/>
    </row>
    <row r="972">
      <c r="A972" s="14"/>
    </row>
    <row r="973">
      <c r="A973" s="14"/>
    </row>
    <row r="974">
      <c r="A974" s="14"/>
    </row>
    <row r="975">
      <c r="A975" s="14"/>
    </row>
    <row r="976">
      <c r="A976" s="14"/>
    </row>
    <row r="977">
      <c r="A977" s="14"/>
    </row>
    <row r="978">
      <c r="A978" s="14"/>
    </row>
    <row r="979">
      <c r="A979" s="14"/>
    </row>
    <row r="980">
      <c r="A980" s="14"/>
    </row>
    <row r="981">
      <c r="A981" s="14"/>
    </row>
    <row r="982">
      <c r="A982" s="14"/>
    </row>
    <row r="983">
      <c r="A983" s="14"/>
    </row>
    <row r="984">
      <c r="A984" s="14"/>
    </row>
    <row r="985">
      <c r="A985" s="14"/>
    </row>
    <row r="986">
      <c r="A986" s="14"/>
    </row>
    <row r="987">
      <c r="A987" s="14"/>
    </row>
    <row r="988">
      <c r="A988" s="14"/>
    </row>
    <row r="989">
      <c r="A989" s="14"/>
    </row>
    <row r="990">
      <c r="A990" s="14"/>
    </row>
    <row r="991">
      <c r="A991" s="14"/>
    </row>
    <row r="992">
      <c r="A992" s="14"/>
    </row>
    <row r="993">
      <c r="A993" s="14"/>
    </row>
    <row r="994">
      <c r="A994" s="14"/>
    </row>
    <row r="995">
      <c r="A995" s="14"/>
    </row>
    <row r="996">
      <c r="A996" s="14"/>
    </row>
    <row r="997">
      <c r="A997" s="14"/>
    </row>
    <row r="998">
      <c r="A998" s="14"/>
    </row>
    <row r="999">
      <c r="A999" s="14"/>
    </row>
    <row r="1000">
      <c r="A1000" s="14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</hyperlinks>
  <drawing r:id="rId54"/>
</worksheet>
</file>